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\E565750\Docinfo\01266_15_00825 V39.0\"/>
    </mc:Choice>
  </mc:AlternateContent>
  <bookViews>
    <workbookView xWindow="-120" yWindow="-120" windowWidth="19200" windowHeight="4320" tabRatio="566"/>
  </bookViews>
  <sheets>
    <sheet name="Table APOQUA files" sheetId="2" r:id="rId1"/>
    <sheet name="List fastener in APOQUA files" sheetId="3" r:id="rId2"/>
    <sheet name="PORO table" sheetId="4" r:id="rId3"/>
    <sheet name="Base PFR table" sheetId="5" r:id="rId4"/>
    <sheet name="Feuil1" sheetId="6" r:id="rId5"/>
  </sheets>
  <externalReferences>
    <externalReference r:id="rId6"/>
    <externalReference r:id="rId7"/>
    <externalReference r:id="rId8"/>
  </externalReferences>
  <definedNames>
    <definedName name="_xlnm._FilterDatabase" localSheetId="3" hidden="1">'Base PFR table'!$A$1:$P$136</definedName>
    <definedName name="_xlnm._FilterDatabase" localSheetId="1" hidden="1">'List fastener in APOQUA files'!$B$2:$G$2</definedName>
    <definedName name="_xlnm._FilterDatabase" localSheetId="2" hidden="1">'PORO table'!$A$1:$N$506</definedName>
    <definedName name="_xlnm._FilterDatabase" localSheetId="0" hidden="1">'Table APOQUA files'!$D$2:$P$643</definedName>
    <definedName name="Couples_std">[1]Indicateurs!#REF!</definedName>
    <definedName name="Etat_fiches">[1]Indicateurs!$B$4:$B$8</definedName>
    <definedName name="Liste_avancement" localSheetId="0">#REF!</definedName>
    <definedName name="Liste_avancement">#REF!</definedName>
    <definedName name="Livraison">'[1]Liste '!$B$28:$B$32</definedName>
    <definedName name="Parametres_CodeDocument">'[2]6)Entête'!$C$11</definedName>
    <definedName name="Parametres_DateMiseaJour">'[2]6)Entête'!$C$8</definedName>
    <definedName name="TYPE">'[1]Liste '!$B$14:$B$25</definedName>
    <definedName name="Zone_véhicule">'[1]Liste '!$B$36:$B$47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5" i="2" l="1"/>
  <c r="K134" i="5" l="1"/>
  <c r="G134" i="5"/>
  <c r="F134" i="5"/>
  <c r="E134" i="5"/>
  <c r="E525" i="4"/>
  <c r="D525" i="4"/>
  <c r="C525" i="4"/>
  <c r="B525" i="4"/>
  <c r="A525" i="4"/>
  <c r="E133" i="5"/>
  <c r="E524" i="4"/>
  <c r="D524" i="4"/>
  <c r="C524" i="4"/>
  <c r="F133" i="5" s="1"/>
  <c r="B524" i="4"/>
  <c r="G133" i="5" s="1"/>
  <c r="A524" i="4"/>
  <c r="E523" i="4"/>
  <c r="D523" i="4"/>
  <c r="C523" i="4"/>
  <c r="B523" i="4"/>
  <c r="A523" i="4"/>
  <c r="F522" i="4" l="1"/>
  <c r="E522" i="4"/>
  <c r="B522" i="4"/>
  <c r="G131" i="5"/>
  <c r="G130" i="5"/>
  <c r="F521" i="4"/>
  <c r="E521" i="4"/>
  <c r="B521" i="4"/>
  <c r="G129" i="5" l="1"/>
  <c r="F520" i="4"/>
  <c r="E520" i="4"/>
  <c r="D520" i="4"/>
  <c r="C520" i="4"/>
  <c r="B520" i="4"/>
  <c r="F519" i="4"/>
  <c r="E519" i="4"/>
  <c r="D519" i="4"/>
  <c r="C519" i="4"/>
  <c r="B519" i="4"/>
  <c r="G128" i="5" s="1"/>
  <c r="A519" i="4"/>
  <c r="M240" i="2" l="1"/>
  <c r="M260" i="2" l="1"/>
  <c r="M239" i="2" l="1"/>
  <c r="N239" i="2"/>
  <c r="N4" i="2" l="1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9" i="2"/>
  <c r="N192" i="2"/>
  <c r="N193" i="2"/>
  <c r="N194" i="2"/>
  <c r="N195" i="2"/>
  <c r="N200" i="2"/>
  <c r="N201" i="2"/>
  <c r="N203" i="2"/>
  <c r="N204" i="2"/>
  <c r="N205" i="2"/>
  <c r="N206" i="2"/>
  <c r="N207" i="2"/>
  <c r="N209" i="2"/>
  <c r="N210" i="2"/>
  <c r="N211" i="2"/>
  <c r="N212" i="2"/>
  <c r="N213" i="2"/>
  <c r="N214" i="2"/>
  <c r="N215" i="2"/>
  <c r="N216" i="2"/>
  <c r="N217" i="2"/>
  <c r="N218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222" i="2"/>
  <c r="N223" i="2"/>
  <c r="N225" i="2"/>
  <c r="N198" i="2"/>
  <c r="N197" i="2"/>
  <c r="N231" i="2"/>
  <c r="N230" i="2"/>
  <c r="N228" i="2"/>
  <c r="N202" i="2"/>
  <c r="N227" i="2"/>
  <c r="N219" i="2"/>
  <c r="N220" i="2"/>
  <c r="N221" i="2"/>
  <c r="N224" i="2"/>
  <c r="N226" i="2"/>
  <c r="N199" i="2"/>
  <c r="N208" i="2"/>
  <c r="N229" i="2"/>
  <c r="N196" i="2"/>
  <c r="N98" i="2"/>
  <c r="N188" i="2"/>
  <c r="N190" i="2"/>
  <c r="N191" i="2"/>
  <c r="N124" i="2"/>
  <c r="N233" i="2"/>
  <c r="N232" i="2"/>
  <c r="N235" i="2"/>
  <c r="N243" i="2"/>
  <c r="N245" i="2"/>
  <c r="N244" i="2"/>
  <c r="N246" i="2"/>
  <c r="N247" i="2"/>
  <c r="N248" i="2"/>
  <c r="N249" i="2"/>
  <c r="N250" i="2"/>
  <c r="N237" i="2"/>
  <c r="N234" i="2"/>
  <c r="N238" i="2"/>
  <c r="N236" i="2"/>
  <c r="N240" i="2"/>
  <c r="N241" i="2"/>
  <c r="N242" i="2"/>
  <c r="N258" i="2"/>
  <c r="N259" i="2"/>
  <c r="N260" i="2"/>
  <c r="N251" i="2"/>
  <c r="N252" i="2"/>
  <c r="N253" i="2"/>
  <c r="N254" i="2"/>
  <c r="N255" i="2"/>
  <c r="N256" i="2"/>
  <c r="N257" i="2"/>
  <c r="N634" i="2"/>
  <c r="N635" i="2"/>
  <c r="N636" i="2"/>
  <c r="N637" i="2"/>
  <c r="N638" i="2"/>
  <c r="N639" i="2"/>
  <c r="N640" i="2"/>
  <c r="N641" i="2"/>
  <c r="N642" i="2"/>
  <c r="N643" i="2"/>
  <c r="N3" i="2"/>
  <c r="M643" i="2" l="1"/>
  <c r="M642" i="2"/>
  <c r="M641" i="2"/>
  <c r="M640" i="2"/>
  <c r="M639" i="2"/>
  <c r="M638" i="2"/>
  <c r="M637" i="2"/>
  <c r="M636" i="2"/>
  <c r="M635" i="2"/>
  <c r="M634" i="2"/>
  <c r="M257" i="2"/>
  <c r="M256" i="2"/>
  <c r="M254" i="2"/>
  <c r="M253" i="2"/>
  <c r="M252" i="2"/>
  <c r="M251" i="2"/>
  <c r="M259" i="2"/>
  <c r="M234" i="2"/>
  <c r="M238" i="2"/>
  <c r="M236" i="2"/>
  <c r="M241" i="2"/>
  <c r="M242" i="2"/>
  <c r="M258" i="2"/>
  <c r="M235" i="2" l="1"/>
  <c r="M243" i="2"/>
  <c r="M245" i="2"/>
  <c r="M244" i="2"/>
  <c r="M246" i="2"/>
  <c r="M247" i="2"/>
  <c r="M248" i="2"/>
  <c r="M249" i="2"/>
  <c r="M250" i="2"/>
  <c r="M237" i="2"/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9" i="2"/>
  <c r="M192" i="2"/>
  <c r="M193" i="2"/>
  <c r="M194" i="2"/>
  <c r="M195" i="2"/>
  <c r="M200" i="2"/>
  <c r="M201" i="2"/>
  <c r="M203" i="2"/>
  <c r="M204" i="2"/>
  <c r="M205" i="2"/>
  <c r="M206" i="2"/>
  <c r="M207" i="2"/>
  <c r="M209" i="2"/>
  <c r="M210" i="2"/>
  <c r="M211" i="2"/>
  <c r="M212" i="2"/>
  <c r="M213" i="2"/>
  <c r="M214" i="2"/>
  <c r="M215" i="2"/>
  <c r="M216" i="2"/>
  <c r="M217" i="2"/>
  <c r="M218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222" i="2"/>
  <c r="M223" i="2"/>
  <c r="M225" i="2"/>
  <c r="M198" i="2"/>
  <c r="M197" i="2"/>
  <c r="M231" i="2"/>
  <c r="M230" i="2"/>
  <c r="M228" i="2"/>
  <c r="M202" i="2"/>
  <c r="M227" i="2"/>
  <c r="M219" i="2"/>
  <c r="M220" i="2"/>
  <c r="M221" i="2"/>
  <c r="M224" i="2"/>
  <c r="M226" i="2"/>
  <c r="M199" i="2"/>
  <c r="M208" i="2"/>
  <c r="M229" i="2"/>
  <c r="M196" i="2"/>
  <c r="M98" i="2"/>
  <c r="M188" i="2"/>
  <c r="M190" i="2"/>
  <c r="M191" i="2"/>
  <c r="M124" i="2"/>
  <c r="M233" i="2"/>
  <c r="M232" i="2"/>
  <c r="M3" i="2"/>
</calcChain>
</file>

<file path=xl/sharedStrings.xml><?xml version="1.0" encoding="utf-8"?>
<sst xmlns="http://schemas.openxmlformats.org/spreadsheetml/2006/main" count="11170" uniqueCount="2877">
  <si>
    <t>APOQUA designation (Français)</t>
  </si>
  <si>
    <t>APOQUA designation (English)</t>
  </si>
  <si>
    <t>DPTA_DMOV06_0200</t>
  </si>
  <si>
    <t>DITV_ATAT07_0080</t>
  </si>
  <si>
    <t>DITV_ATAT07_0137</t>
  </si>
  <si>
    <t>DITV_ATAT07_0119</t>
  </si>
  <si>
    <t>DITV_ATAT07_0120</t>
  </si>
  <si>
    <t>01266_13_00289</t>
  </si>
  <si>
    <t>DITV_ATAT07_0032</t>
  </si>
  <si>
    <t>DITV_ATAT07_0064</t>
  </si>
  <si>
    <t>01266_13_00552</t>
  </si>
  <si>
    <t>01266_11_01943</t>
  </si>
  <si>
    <t>DPTA_DMOV06_0122</t>
  </si>
  <si>
    <t>DITV_ATAT07_0082</t>
  </si>
  <si>
    <t>DPTA_DMOV06_0169</t>
  </si>
  <si>
    <t>DITV_ATAT07_0255</t>
  </si>
  <si>
    <t>DPTA_DMOV06_0245</t>
  </si>
  <si>
    <t>DPTA_DMOV06_0246</t>
  </si>
  <si>
    <t>DPTA_DMOV06_0136</t>
  </si>
  <si>
    <t>DITV_ATAT07_0017</t>
  </si>
  <si>
    <t>DITV_ATAT07_0053</t>
  </si>
  <si>
    <t>DTI_DITV07_0028</t>
  </si>
  <si>
    <t>DITV_ATAT07_0193</t>
  </si>
  <si>
    <t>DITV_ATAT07_0200</t>
  </si>
  <si>
    <t>DITV_ATAT07_0199</t>
  </si>
  <si>
    <t>01266_13_00824</t>
  </si>
  <si>
    <t>DPTA_DMOV06_0016</t>
  </si>
  <si>
    <t>01266_16_00711</t>
  </si>
  <si>
    <t>DITV_ATAT07_0159</t>
  </si>
  <si>
    <t>DITV_ATAT07_0008</t>
  </si>
  <si>
    <t>DPTA_DMOV06_0168</t>
  </si>
  <si>
    <t>DITV_ATAT07_0274</t>
  </si>
  <si>
    <t>DITV_ATAT07_0265</t>
  </si>
  <si>
    <t>DPTA_DMOV06_0243</t>
  </si>
  <si>
    <t>DITV_ATAT07_0047</t>
  </si>
  <si>
    <t>DPTA_DMOV06_0206</t>
  </si>
  <si>
    <t>DITV_ATAT07_0072</t>
  </si>
  <si>
    <t>01266_16_00840</t>
  </si>
  <si>
    <t>DPTA_DMOV06_0014</t>
  </si>
  <si>
    <t>DITV_ATAT07_0112</t>
  </si>
  <si>
    <t>01266_16_01515</t>
  </si>
  <si>
    <t>DPTA_DMOV06_0195</t>
  </si>
  <si>
    <t>DPTA_DMOV06_0170</t>
  </si>
  <si>
    <t>DITV_ATAT07_0267</t>
  </si>
  <si>
    <t>DITV_ATAT07_0163</t>
  </si>
  <si>
    <t>DPTA_DMOV06_0215</t>
  </si>
  <si>
    <t>DPTA_DMOV06_0160</t>
  </si>
  <si>
    <t>DPTA_DMOV06_0181</t>
  </si>
  <si>
    <t>DITV_ATAT07_0085</t>
  </si>
  <si>
    <t>DITV_ATAT07_0071</t>
  </si>
  <si>
    <t>01266_17_01156</t>
  </si>
  <si>
    <t>DPTA_DMOV06_0158</t>
  </si>
  <si>
    <t>01266_10_00733</t>
  </si>
  <si>
    <t>DPTA_DMOV06_0074</t>
  </si>
  <si>
    <t>DPTA_DMOV06_0174</t>
  </si>
  <si>
    <t>DITV_ATAT07_0284</t>
  </si>
  <si>
    <t>DPTA_DMOV06_0240</t>
  </si>
  <si>
    <t>DITV_ATAT07_0086</t>
  </si>
  <si>
    <t>01266_10_00637</t>
  </si>
  <si>
    <t>01266_10_00199</t>
  </si>
  <si>
    <t>DITV_ATAT07_0089</t>
  </si>
  <si>
    <t>01266_10_00732</t>
  </si>
  <si>
    <t>DITV_ATAT07_0078</t>
  </si>
  <si>
    <t>DITV_ATAT07_0240</t>
  </si>
  <si>
    <t>DITV_ATAT07_0027</t>
  </si>
  <si>
    <t>DITV_ATAT07_0056</t>
  </si>
  <si>
    <t>DITV_ATAT07_0012</t>
  </si>
  <si>
    <t>DPTA_DMOV06_0165</t>
  </si>
  <si>
    <t>DPTA_DMOV06_0113</t>
  </si>
  <si>
    <t>DPTA_DMOV06_0244</t>
  </si>
  <si>
    <t>DITV_ATAT07_0113</t>
  </si>
  <si>
    <t>DPTA_DMOV05_0937</t>
  </si>
  <si>
    <t>DITV_ATAT07_0035</t>
  </si>
  <si>
    <t>01266_13_00135</t>
  </si>
  <si>
    <t>01266_13_00325</t>
  </si>
  <si>
    <t>01266_12_00871</t>
  </si>
  <si>
    <t>01266_16_00639</t>
  </si>
  <si>
    <t>DITV_CMON08_0323</t>
  </si>
  <si>
    <t>DITV_ATAT07_0055</t>
  </si>
  <si>
    <t>01266_10_01789</t>
  </si>
  <si>
    <t>DITV_ATAT07_0033</t>
  </si>
  <si>
    <t>DITV_ATAT07_0039</t>
  </si>
  <si>
    <t>DPTA_DMOV06_0204</t>
  </si>
  <si>
    <t>DITV_CMON08_0322</t>
  </si>
  <si>
    <t>01266_10_00737</t>
  </si>
  <si>
    <t>DITV_ATAT07_0063</t>
  </si>
  <si>
    <t>DPTA_DMOV05_0968</t>
  </si>
  <si>
    <t>DPTA_DMOV06_0053</t>
  </si>
  <si>
    <t>DITV_ATAT07_0025</t>
  </si>
  <si>
    <t>DPTA_DMOV06_0097</t>
  </si>
  <si>
    <t>DITV_ATAT07_0020</t>
  </si>
  <si>
    <t>DPTA_DMOV06_0066</t>
  </si>
  <si>
    <t>DITV_ATAT07_0282</t>
  </si>
  <si>
    <t>DITV_ATAT07_0207</t>
  </si>
  <si>
    <t>DITV_ATAT07_0208</t>
  </si>
  <si>
    <t>DPTA_DMOV06_0235</t>
  </si>
  <si>
    <t>DITV_ATAT07_0118</t>
  </si>
  <si>
    <t>DITV_ATAT07_0237</t>
  </si>
  <si>
    <t>DITV_ATAT07_0197</t>
  </si>
  <si>
    <t>DITV_ATAT07_0022</t>
  </si>
  <si>
    <t>DITV_ATAT07_0205</t>
  </si>
  <si>
    <t>DPTA_DMOV06_0238</t>
  </si>
  <si>
    <t>DPTA_DMOV06_0190</t>
  </si>
  <si>
    <t>DPTA_DMOV06_0198</t>
  </si>
  <si>
    <t>01266_13_00628</t>
  </si>
  <si>
    <t>DPTA_DMOV06_0220</t>
  </si>
  <si>
    <t>DPTA_DMOV06_0172</t>
  </si>
  <si>
    <t>DITV_ATAT07_0204</t>
  </si>
  <si>
    <t>DITV_ATAT07_0281</t>
  </si>
  <si>
    <t>DPTA_DMOV06_0219</t>
  </si>
  <si>
    <t>DTI_DPMO07_0080</t>
  </si>
  <si>
    <t>DITV_ATAT07_0123</t>
  </si>
  <si>
    <t>DPTA_DMOV06_0171</t>
  </si>
  <si>
    <t>DITV_ATAT07_0196</t>
  </si>
  <si>
    <t>DITV_ATAT07_0028</t>
  </si>
  <si>
    <t>DITV_ATAT07_0186</t>
  </si>
  <si>
    <t>DITV_ATAT07_0156</t>
  </si>
  <si>
    <t>DPTA_DMOV06_0075</t>
  </si>
  <si>
    <t>01266_13_00605</t>
  </si>
  <si>
    <t>01266_10_00744</t>
  </si>
  <si>
    <t>DITV_ATAT07_0286</t>
  </si>
  <si>
    <t>DITV_ATAT07_0287</t>
  </si>
  <si>
    <t>DITV_ATAT07_0210</t>
  </si>
  <si>
    <t>01266_14_00963</t>
  </si>
  <si>
    <t>01266_17_00696</t>
  </si>
  <si>
    <t>DITV_ATAT07_0235</t>
  </si>
  <si>
    <t>DITV_ATAT07_0262</t>
  </si>
  <si>
    <t>01266_13_00326</t>
  </si>
  <si>
    <t>DITV_ATAT07_0133</t>
  </si>
  <si>
    <t>DITV_ATAT07_0180</t>
  </si>
  <si>
    <t>DITV_ATAT07_0073</t>
  </si>
  <si>
    <t>CMON_MEM08_0266</t>
  </si>
  <si>
    <t>DPTA_DMOV06_0149</t>
  </si>
  <si>
    <t>CMON_IMV08_0411</t>
  </si>
  <si>
    <t>DPTA_DMOV06_0148</t>
  </si>
  <si>
    <t>DPTA_DMOV06_0150</t>
  </si>
  <si>
    <t>DITV_ATAT07_0074</t>
  </si>
  <si>
    <t>DITV_ATAT07_0040</t>
  </si>
  <si>
    <t>DITV_ATAT07_0052</t>
  </si>
  <si>
    <t>DITV_ATAT07_0293</t>
  </si>
  <si>
    <t>DITV_ATAT07_0065</t>
  </si>
  <si>
    <t>DITV_CMON08_0585</t>
  </si>
  <si>
    <t>01266_10_01772</t>
  </si>
  <si>
    <t>DITV_ATAT07_0219</t>
  </si>
  <si>
    <t>DPTA_DMOV05_1003</t>
  </si>
  <si>
    <t xml:space="preserve">01266_17_01167 </t>
  </si>
  <si>
    <t>DPTA_DMOV05_1004</t>
  </si>
  <si>
    <t>DITV_ATAT07_0125</t>
  </si>
  <si>
    <t>DITV_ATAT08_0020</t>
  </si>
  <si>
    <t>01266_15_00670</t>
  </si>
  <si>
    <t>DITV_ATAT07_0116</t>
  </si>
  <si>
    <t>DITV_ATAT07_0101</t>
  </si>
  <si>
    <t>DPTA_DMOV06_0211</t>
  </si>
  <si>
    <t>DPTA_DMOV05_0964</t>
  </si>
  <si>
    <t>DPTA_DMOV06_0067</t>
  </si>
  <si>
    <t>DITV_ATAT07_0066</t>
  </si>
  <si>
    <t>DITV_ATAT07_0170</t>
  </si>
  <si>
    <t>DITV_ATAT07_0188</t>
  </si>
  <si>
    <t>DITV_ATAT07_0179</t>
  </si>
  <si>
    <t>DITV_ATAT07_0084</t>
  </si>
  <si>
    <t>DITV_ATAT07_0059</t>
  </si>
  <si>
    <t>DPTA_DMOV06_0117</t>
  </si>
  <si>
    <t>01266_16_00706</t>
  </si>
  <si>
    <t>DPTA_DMOV06_0047</t>
  </si>
  <si>
    <t>DPTA_DMOV05_0938</t>
  </si>
  <si>
    <t>01266_10_01548</t>
  </si>
  <si>
    <t>DITV_ATAT07_0295</t>
  </si>
  <si>
    <t>DPTA_DMOV06_0138</t>
  </si>
  <si>
    <t>01266_09_00155</t>
  </si>
  <si>
    <t>01266_16_00647</t>
  </si>
  <si>
    <t>DITV_ATAT07_0142</t>
  </si>
  <si>
    <t>DITV_ATAT07_0093</t>
  </si>
  <si>
    <t>DITV_ATAT07_0108</t>
  </si>
  <si>
    <t>DITV_ATAT07_0041</t>
  </si>
  <si>
    <t>DITV_ATAT07_0243</t>
  </si>
  <si>
    <t>01266_10_00743</t>
  </si>
  <si>
    <t>DITV_ATAT07_0029</t>
  </si>
  <si>
    <t>DITV_ATAT07_0128</t>
  </si>
  <si>
    <t>01266_10_01773</t>
  </si>
  <si>
    <t>DITV_ATAT07_0187</t>
  </si>
  <si>
    <t>DITV_ATAT07_0247</t>
  </si>
  <si>
    <t>DITV_ATAT07_0226</t>
  </si>
  <si>
    <t>DITV_ATAT07_0215</t>
  </si>
  <si>
    <t>DITV_ATAT07_0198</t>
  </si>
  <si>
    <t>DITV_ATAT07_0109</t>
  </si>
  <si>
    <t>DPTA_DMOV06_0209</t>
  </si>
  <si>
    <t>DITV_ATAT07_0261</t>
  </si>
  <si>
    <t>DITV_ATAT07_0013</t>
  </si>
  <si>
    <t>DITV_ATAT07_0195</t>
  </si>
  <si>
    <t>DITV_ATAT07_0257</t>
  </si>
  <si>
    <t>DITV_ATAT07_0212</t>
  </si>
  <si>
    <t>DITV_ATAT07_0182</t>
  </si>
  <si>
    <t>DITV_ATAT07_0183</t>
  </si>
  <si>
    <t>01266_11_00285</t>
  </si>
  <si>
    <t>DPTA_DMOV06_0212</t>
  </si>
  <si>
    <t>DITV_ATAT07_0266</t>
  </si>
  <si>
    <t>DPTA_DMOV06_0009</t>
  </si>
  <si>
    <t>DITV_ATAT07_0298</t>
  </si>
  <si>
    <t>DPTA_DMOV06_0237</t>
  </si>
  <si>
    <t>01266_16_00712</t>
  </si>
  <si>
    <t>01266_10_00745</t>
  </si>
  <si>
    <t>01266_09_00156</t>
  </si>
  <si>
    <t>DITV_ATAT07_0115</t>
  </si>
  <si>
    <t>DPTA_DMOV06_0100</t>
  </si>
  <si>
    <t>DPTA_DMOV05_0956</t>
  </si>
  <si>
    <t>DPTA_DMOV06_0087</t>
  </si>
  <si>
    <t>DITV_ATAT07_0105</t>
  </si>
  <si>
    <t>DITV_ATAT07_0241</t>
  </si>
  <si>
    <t>DMOV_STRP06_1449</t>
  </si>
  <si>
    <t>DPTA_DMOV06_0131</t>
  </si>
  <si>
    <t>DITV_ATAT07_0104</t>
  </si>
  <si>
    <t>DITV_ATAT07_0140</t>
  </si>
  <si>
    <t>DITV_ATAT07_0268</t>
  </si>
  <si>
    <t>DITV_ATAT07_0158</t>
  </si>
  <si>
    <t>DPTA_DMOV06_0013</t>
  </si>
  <si>
    <t>DPTA_DMOV06_0055</t>
  </si>
  <si>
    <t>DITV_ATAT07_0173</t>
  </si>
  <si>
    <t>DITV_ATAT07_0224</t>
  </si>
  <si>
    <t>DPTA_DMOV05_0966</t>
  </si>
  <si>
    <t>01266_10_00734</t>
  </si>
  <si>
    <t>DITV_ATAT07_0297</t>
  </si>
  <si>
    <t>01266_12_00151</t>
  </si>
  <si>
    <t>DPTA_DMOV06_0129</t>
  </si>
  <si>
    <t>DITV_ATAT07_0075</t>
  </si>
  <si>
    <t>01266_13_00240</t>
  </si>
  <si>
    <t>DITV_ATAT07_0162</t>
  </si>
  <si>
    <t>DPTA_DMOV06_0095</t>
  </si>
  <si>
    <t>DITV_ATAT07_0206</t>
  </si>
  <si>
    <t>DITV_ATAT07_0230</t>
  </si>
  <si>
    <t>DPTA_DMOV06_0098</t>
  </si>
  <si>
    <t>DPTA_DMOV06_0096</t>
  </si>
  <si>
    <t>01266_11_02100</t>
  </si>
  <si>
    <t>DITV_ATAT07_0034</t>
  </si>
  <si>
    <t>DPTA_DMOV06_0103</t>
  </si>
  <si>
    <t>DMOV_STRP06_1458</t>
  </si>
  <si>
    <t>DITV_ATAT07_0256</t>
  </si>
  <si>
    <t>DITV_ATAT07_0181</t>
  </si>
  <si>
    <t>01266_16_00102</t>
  </si>
  <si>
    <t>01266_11_00413</t>
  </si>
  <si>
    <t>DITV_ATAT07_0279</t>
  </si>
  <si>
    <t>DITV_ATAT07_0184</t>
  </si>
  <si>
    <t>DPTA_DMOV06_0132</t>
  </si>
  <si>
    <t>DPTA_DMOV05_0942</t>
  </si>
  <si>
    <t>01266_16_00110</t>
  </si>
  <si>
    <t>DITV_ATAT07_0161</t>
  </si>
  <si>
    <t>DITV_ATAT07_0014</t>
  </si>
  <si>
    <t>01266_12_00209</t>
  </si>
  <si>
    <t>DITV_ATAT07_0099</t>
  </si>
  <si>
    <t>01266_14_01081</t>
  </si>
  <si>
    <t>01266_14_01080</t>
  </si>
  <si>
    <t>DITV_ATAT07_0062</t>
  </si>
  <si>
    <t>DITV_ATAT07_0068</t>
  </si>
  <si>
    <t>01266_12_00407</t>
  </si>
  <si>
    <t>01266_10_00742</t>
  </si>
  <si>
    <t>01266_12_00448</t>
  </si>
  <si>
    <t>DITV_ATAT07_0023</t>
  </si>
  <si>
    <t>01266_12_00440</t>
  </si>
  <si>
    <t>DITV_ATAT07_0010</t>
  </si>
  <si>
    <t>01266_12_00327</t>
  </si>
  <si>
    <t>DITV_ATAT07_0148</t>
  </si>
  <si>
    <t>01266_14_01085</t>
  </si>
  <si>
    <t>01266_14_01086</t>
  </si>
  <si>
    <t>DITV_ATAT07_0269</t>
  </si>
  <si>
    <t>DPTA_DMOV06_0123</t>
  </si>
  <si>
    <t>DPTA_DMOV06_0188</t>
  </si>
  <si>
    <t>DITV_ATAT07_0258</t>
  </si>
  <si>
    <t>DITV_ATAT07_0190</t>
  </si>
  <si>
    <t>DPTA_DMOV05_1018</t>
  </si>
  <si>
    <t>01266_10_00735</t>
  </si>
  <si>
    <t>DITV_ATAT07_0090</t>
  </si>
  <si>
    <t>DPTA_DMOV06_0145</t>
  </si>
  <si>
    <t>DITV_ATAT08_0018</t>
  </si>
  <si>
    <t>DITV_ATAT07_0045</t>
  </si>
  <si>
    <t>DITV_ATAT07_0246</t>
  </si>
  <si>
    <t>01266_13_01124</t>
  </si>
  <si>
    <t>DITV_ATAT07_0011</t>
  </si>
  <si>
    <t>DPTA_DMOV06_0116</t>
  </si>
  <si>
    <t>DPTA_DMOV06_0124</t>
  </si>
  <si>
    <t>DPTA_DMOV06_0111</t>
  </si>
  <si>
    <t>DPTA_DMOV06_0109</t>
  </si>
  <si>
    <t>DPTA_DMOV06_0115</t>
  </si>
  <si>
    <t>01266_10_00642</t>
  </si>
  <si>
    <t>DPTA_DMOV06_0154</t>
  </si>
  <si>
    <t>DITV_ATAT07_0030</t>
  </si>
  <si>
    <t>01266_11_00381</t>
  </si>
  <si>
    <t>DPTA_DMOV06_0144</t>
  </si>
  <si>
    <t>DITV_ATAT07_0016</t>
  </si>
  <si>
    <t>DPTA_DMOV06_0175</t>
  </si>
  <si>
    <t>01266_11_01492</t>
  </si>
  <si>
    <t>DPTA_DMOV06_0161</t>
  </si>
  <si>
    <t>01266_10_01125</t>
  </si>
  <si>
    <t>DITV_ATAT07_0054</t>
  </si>
  <si>
    <t>DPTA_DMOV05_0980</t>
  </si>
  <si>
    <t>DITV_ATAT07_0218</t>
  </si>
  <si>
    <t>DPTA_DMOV05_1002</t>
  </si>
  <si>
    <t>CMON_IMV08_0412</t>
  </si>
  <si>
    <t>DITV_ATAT07_0155</t>
  </si>
  <si>
    <t>DITV_ATAT07_0285</t>
  </si>
  <si>
    <t>DPTA_DMOV06_0222</t>
  </si>
  <si>
    <t>DPTA_DMOV05_0997</t>
  </si>
  <si>
    <t>DPTA_DMOV05_0998</t>
  </si>
  <si>
    <t>DPTA_DMOV06_0221</t>
  </si>
  <si>
    <t>DITV_ATAT07_0134</t>
  </si>
  <si>
    <t>DPTA_DMOV06_0015</t>
  </si>
  <si>
    <t>DPTA_DMOV06_0114</t>
  </si>
  <si>
    <t>DPTA_DMOV05_1017</t>
  </si>
  <si>
    <t>DPTA_DMOV05_1016</t>
  </si>
  <si>
    <t>DITV_ATAT07_0018</t>
  </si>
  <si>
    <t>DITV_ATAT08_0019</t>
  </si>
  <si>
    <t>DPTA_DMOV06_0130</t>
  </si>
  <si>
    <t>DPTA_DMOV06_0110</t>
  </si>
  <si>
    <t>01266_12_00280</t>
  </si>
  <si>
    <t>DITV_ATAT07_0026</t>
  </si>
  <si>
    <t>DPTA_DMOV06_0163</t>
  </si>
  <si>
    <t>DPTA_DMOV06_0032</t>
  </si>
  <si>
    <t>DPTA_DMOV05_1013</t>
  </si>
  <si>
    <t>DPTA_DMOV06_0147</t>
  </si>
  <si>
    <t>01266_16_01594</t>
  </si>
  <si>
    <t>DITV_ATAT07_0095</t>
  </si>
  <si>
    <t>DITV_ATAT07_0225</t>
  </si>
  <si>
    <t>DPTA_DMOV06_0152</t>
  </si>
  <si>
    <t>DPTA_DMOV06_0006</t>
  </si>
  <si>
    <t>01266_10_00636</t>
  </si>
  <si>
    <t>DITV_ATAT07_0172</t>
  </si>
  <si>
    <t>DITV_ATAT07_0239</t>
  </si>
  <si>
    <t>DITV_ATAT07_0107</t>
  </si>
  <si>
    <t>01266_12_00789</t>
  </si>
  <si>
    <t>01266_10_01610</t>
  </si>
  <si>
    <t>DPTA_DMOV06_0151</t>
  </si>
  <si>
    <t>01266_12_00210</t>
  </si>
  <si>
    <t>DPTA_DMOV06_0140</t>
  </si>
  <si>
    <t>DITV_ATAT07_0164</t>
  </si>
  <si>
    <t>DITV_ATAT07_0083</t>
  </si>
  <si>
    <t>DPTA_DMOV06_0189</t>
  </si>
  <si>
    <t>DITV_ATAT07_0110</t>
  </si>
  <si>
    <t>01266_11_00203</t>
  </si>
  <si>
    <t>01266_11_00202</t>
  </si>
  <si>
    <t>DITV_ATAT07_0094</t>
  </si>
  <si>
    <t>DITV_ATAT07_0070</t>
  </si>
  <si>
    <t>DITV_ATAT07_0127</t>
  </si>
  <si>
    <t>01266_10_00634</t>
  </si>
  <si>
    <t>CMON_IMV08_0410</t>
  </si>
  <si>
    <t>CMON_IMV08_0422</t>
  </si>
  <si>
    <t>CMON_IMV08_0407</t>
  </si>
  <si>
    <t>DITV_ATAT07_0296</t>
  </si>
  <si>
    <t>DITV_ATAT07_0069</t>
  </si>
  <si>
    <t>DITV_ATAT07_0015</t>
  </si>
  <si>
    <t>01266_09_00147</t>
  </si>
  <si>
    <t>DITV_CMON08_0587</t>
  </si>
  <si>
    <t>CMON_IMV08_0405</t>
  </si>
  <si>
    <t>CMON_IMV08_0404</t>
  </si>
  <si>
    <t>CMON_IMV08_0406</t>
  </si>
  <si>
    <t>01266_10_00635</t>
  </si>
  <si>
    <t>01266_17_00404</t>
  </si>
  <si>
    <t>DPTA_DMOV06_0135</t>
  </si>
  <si>
    <t>DPTA_DMOV06_0199</t>
  </si>
  <si>
    <t>DPTA_DMOV06_0139</t>
  </si>
  <si>
    <t>DITV_ATAT07_0175</t>
  </si>
  <si>
    <t>DPTA_DMOV06_0134</t>
  </si>
  <si>
    <t>DPTA_DMOV06_0197</t>
  </si>
  <si>
    <t>01266_10_00632</t>
  </si>
  <si>
    <t>DPTA_DMOV06_0022</t>
  </si>
  <si>
    <t>DPTA_DMOV06_0207</t>
  </si>
  <si>
    <t>DITV_ATAT07_0157</t>
  </si>
  <si>
    <t>DPTA_DMOV06_0088</t>
  </si>
  <si>
    <t>DPTA_DMOV06_0125</t>
  </si>
  <si>
    <t>01266_18_00948 </t>
  </si>
  <si>
    <t>DITV_ATAT07_0278</t>
  </si>
  <si>
    <t>DPTA_DMOV06_0213</t>
  </si>
  <si>
    <t>DITV_ATAT07_0135</t>
  </si>
  <si>
    <t>DITV_ATAT07_0057</t>
  </si>
  <si>
    <t>DPTA_DMOV05_0955</t>
  </si>
  <si>
    <t>01266_13_00991</t>
  </si>
  <si>
    <t>DITV_ATAT07_0290</t>
  </si>
  <si>
    <t>DITV_ATAT07_0289</t>
  </si>
  <si>
    <t>DITV_ATAT07_0248</t>
  </si>
  <si>
    <t>01266_16_00242</t>
  </si>
  <si>
    <t>DITV_ATAT07_0174</t>
  </si>
  <si>
    <t>DITV_ATAT07_0263</t>
  </si>
  <si>
    <t>DITV_ATAT07_0149</t>
  </si>
  <si>
    <t>DITV_ATAT07_0150</t>
  </si>
  <si>
    <t>DITV_ATAT07_0126</t>
  </si>
  <si>
    <t>DITV_ATAT07_0203</t>
  </si>
  <si>
    <t>DITV_ATAT07_0202</t>
  </si>
  <si>
    <t>DITV_ATAT07_0130</t>
  </si>
  <si>
    <t>DITV_ATAT07_0153</t>
  </si>
  <si>
    <t>DITV_ATAT07_0021</t>
  </si>
  <si>
    <t>DITV_ATAT07_0259</t>
  </si>
  <si>
    <t>DPMO_DIR07_0008</t>
  </si>
  <si>
    <t>DITV_ATAT07_0167</t>
  </si>
  <si>
    <t>DITV_ATAT07_0214</t>
  </si>
  <si>
    <t>DITV_ATAT08_0021</t>
  </si>
  <si>
    <t>DITV_ATAT07_0129</t>
  </si>
  <si>
    <t>01266_15_00980</t>
  </si>
  <si>
    <t>DITV_ATAT07_0121</t>
  </si>
  <si>
    <t>DITV_ATAT07_0132</t>
  </si>
  <si>
    <t>01266_17_00608</t>
  </si>
  <si>
    <t>DITV_ATAT07_0178</t>
  </si>
  <si>
    <t>DITV_ATAT07_0244</t>
  </si>
  <si>
    <t>DITV_ATAT07_0294</t>
  </si>
  <si>
    <t>DPTA_DMOV06_0214</t>
  </si>
  <si>
    <t>01266_10_01499</t>
  </si>
  <si>
    <t>DPTA_DMOV06_0191</t>
  </si>
  <si>
    <t>DPTA_DMOV06_0192</t>
  </si>
  <si>
    <t>01266_15_00738</t>
  </si>
  <si>
    <t>DITV_ATAT07_0169</t>
  </si>
  <si>
    <t>DITV_ATAT07_0038</t>
  </si>
  <si>
    <t>01266_18_00903</t>
  </si>
  <si>
    <t>DITV_ATAT07_0143</t>
  </si>
  <si>
    <t>DITV_ATAT07_0060</t>
  </si>
  <si>
    <t>DITV_ATAT07_0061</t>
  </si>
  <si>
    <t>01266_11_02185</t>
  </si>
  <si>
    <t>DITV_ATAT07_0037</t>
  </si>
  <si>
    <t>DPTA_DMOV06_0082</t>
  </si>
  <si>
    <t>DITV_ATAT07_0076</t>
  </si>
  <si>
    <t>01266_10_00643</t>
  </si>
  <si>
    <t>01266_10_00644</t>
  </si>
  <si>
    <t>01266_18_01165</t>
  </si>
  <si>
    <t>01266_10_00645</t>
  </si>
  <si>
    <t>DITV_ATAT07_0036</t>
  </si>
  <si>
    <t>DITV_ATAT07_0096</t>
  </si>
  <si>
    <t>DITV_ATAT07_0141</t>
  </si>
  <si>
    <t>DITV_ATAT07_0211</t>
  </si>
  <si>
    <t>DITV_ATAT07_0087</t>
  </si>
  <si>
    <t>DITV_ATAT07_0031</t>
  </si>
  <si>
    <t>DITV_ATAT07_0245</t>
  </si>
  <si>
    <t>DITV_ATAT07_0058</t>
  </si>
  <si>
    <t>DITV_ATAT07_0280</t>
  </si>
  <si>
    <t>DITV_ATAT07_0114</t>
  </si>
  <si>
    <t>DPTA_DMOV06_0184</t>
  </si>
  <si>
    <t>01266_17_01389</t>
  </si>
  <si>
    <t>DPTA_DMOV06_0164</t>
  </si>
  <si>
    <t>DPTA_DMOV06_0186</t>
  </si>
  <si>
    <t>01266_17_00136</t>
  </si>
  <si>
    <t>DITV_ATAT07_0092</t>
  </si>
  <si>
    <t>01266_10_00736</t>
  </si>
  <si>
    <t>DITV_ATAT07_0166</t>
  </si>
  <si>
    <t>01266_18_00836</t>
  </si>
  <si>
    <t>01266_16_00801</t>
  </si>
  <si>
    <t>DPTA_DMOV06_0239</t>
  </si>
  <si>
    <t>DITV_ATAT07_0009</t>
  </si>
  <si>
    <t>DPTA_DMOV06_0120</t>
  </si>
  <si>
    <t>DITV_ATAT07_0046</t>
  </si>
  <si>
    <t>DITV_ATAT07_0103</t>
  </si>
  <si>
    <t>01266_12_00993</t>
  </si>
  <si>
    <t>DPTA_DMOV06_0242</t>
  </si>
  <si>
    <t>DITV_ATAT07_0238</t>
  </si>
  <si>
    <t>01266_12_00386</t>
  </si>
  <si>
    <t>01266_09_00299</t>
  </si>
  <si>
    <t>DITV_ATAT07_0213</t>
  </si>
  <si>
    <t>DITV_ATAT07_0231</t>
  </si>
  <si>
    <t>DPTA_DMOV06_0112</t>
  </si>
  <si>
    <t>DITV_ATAT07_0019</t>
  </si>
  <si>
    <t>DITV_ATAT07_0201</t>
  </si>
  <si>
    <t>DITV_ATAT07_0276</t>
  </si>
  <si>
    <t>DPTA_DMOV06_0187</t>
  </si>
  <si>
    <t>01266_17_01054</t>
  </si>
  <si>
    <t>DPTA_DMOV06_0153</t>
  </si>
  <si>
    <t>DPTA_DMOV06_0041</t>
  </si>
  <si>
    <t>DITV_ATAT07_0168</t>
  </si>
  <si>
    <t>DITV_ATAT07_0051</t>
  </si>
  <si>
    <t>DITV_ATAT07_0192</t>
  </si>
  <si>
    <t>DPTA_DMOV05_0963</t>
  </si>
  <si>
    <t>DITV_ATAT07_0044</t>
  </si>
  <si>
    <t>DPTA_DMOV06_0119</t>
  </si>
  <si>
    <t>DPTA_DMOV06_0081</t>
  </si>
  <si>
    <t>DPTA_DMOV05_1000</t>
  </si>
  <si>
    <t>DITV_ATAT07_0088</t>
  </si>
  <si>
    <t>01266_16_00351</t>
  </si>
  <si>
    <t>01266_18_01160</t>
  </si>
  <si>
    <t>01266_18_01133</t>
  </si>
  <si>
    <t>01266_18_01134</t>
  </si>
  <si>
    <t>01266_18_01135</t>
  </si>
  <si>
    <t>01266_19_00169</t>
  </si>
  <si>
    <t xml:space="preserve">01266_19_00185 </t>
  </si>
  <si>
    <t>01266_19_00103</t>
  </si>
  <si>
    <t>01266_19_00211</t>
  </si>
  <si>
    <t>01266_19_00212</t>
  </si>
  <si>
    <t>01266_19_00351</t>
  </si>
  <si>
    <t>01266_19_00278</t>
  </si>
  <si>
    <t>01266_19_00213</t>
  </si>
  <si>
    <t>01266_19_00461</t>
  </si>
  <si>
    <t>01266_19_00537</t>
  </si>
  <si>
    <t>01266_19_00536</t>
  </si>
  <si>
    <t>01266_19_00408</t>
  </si>
  <si>
    <t>01266_19_00606</t>
  </si>
  <si>
    <t>01266_19_00600</t>
  </si>
  <si>
    <t>01266_19_00538</t>
  </si>
  <si>
    <t>01266_19_00604</t>
  </si>
  <si>
    <t>01266_19_00602</t>
  </si>
  <si>
    <t>01266_19_00603</t>
  </si>
  <si>
    <t>01266_19_00539</t>
  </si>
  <si>
    <t>01266_19_00605</t>
  </si>
  <si>
    <t>01266_19_00775</t>
  </si>
  <si>
    <t>01266_19_00598</t>
  </si>
  <si>
    <t xml:space="preserve">01266_18_00258 </t>
  </si>
  <si>
    <t>01266_19_00780</t>
  </si>
  <si>
    <t>01266_19_00815</t>
  </si>
  <si>
    <t>01266_19_00460</t>
  </si>
  <si>
    <t>01266_19_00349</t>
  </si>
  <si>
    <t>01266_19_00407</t>
  </si>
  <si>
    <t>01266_19_00841</t>
  </si>
  <si>
    <t>01266_19_00779</t>
  </si>
  <si>
    <t>01266_19_00809</t>
  </si>
  <si>
    <t>01266_19_00776</t>
  </si>
  <si>
    <t>01266_19_00463</t>
  </si>
  <si>
    <t>01266_19_00814</t>
  </si>
  <si>
    <t>01266_19_00778 </t>
  </si>
  <si>
    <t>01266_19_00783</t>
  </si>
  <si>
    <t>01266_19_00844</t>
  </si>
  <si>
    <t>01266_19_00845</t>
  </si>
  <si>
    <t xml:space="preserve">01266_19_00840 </t>
  </si>
  <si>
    <t>01266_19_00599</t>
  </si>
  <si>
    <t>01266_19_00842</t>
  </si>
  <si>
    <t>01266_19_00808</t>
  </si>
  <si>
    <t>01266_19_00601</t>
  </si>
  <si>
    <t>01266_19_00782</t>
  </si>
  <si>
    <t xml:space="preserve">01266_20_00770 </t>
  </si>
  <si>
    <t>01266_20_00772</t>
  </si>
  <si>
    <t>01266_19_00839</t>
  </si>
  <si>
    <t>01266_20_00773</t>
  </si>
  <si>
    <t xml:space="preserve">01266_20_00774 </t>
  </si>
  <si>
    <t>01266_20_00771</t>
  </si>
  <si>
    <t>01266_19_00848</t>
  </si>
  <si>
    <t>01266_19_00847</t>
  </si>
  <si>
    <t>01266_19_00813</t>
  </si>
  <si>
    <t>01266_19_00843</t>
  </si>
  <si>
    <t>01266_20_00775</t>
  </si>
  <si>
    <t>01266_20_00769</t>
  </si>
  <si>
    <t>01266_19_00812</t>
  </si>
  <si>
    <t>01266_20_00223</t>
  </si>
  <si>
    <t>01266_20_00218</t>
  </si>
  <si>
    <t>01266_20_00220</t>
  </si>
  <si>
    <t>01266_20_00222</t>
  </si>
  <si>
    <t xml:space="preserve">Lot </t>
  </si>
  <si>
    <t>Vehicle area</t>
  </si>
  <si>
    <t>Creation date</t>
  </si>
  <si>
    <t>Last modification</t>
  </si>
  <si>
    <t>Status</t>
  </si>
  <si>
    <t>-</t>
  </si>
  <si>
    <t>01266_20_00221</t>
  </si>
  <si>
    <t>01266_20_00224</t>
  </si>
  <si>
    <t>01266_19_00784</t>
  </si>
  <si>
    <t>01266_20_00776</t>
  </si>
  <si>
    <t>01266_20_00217</t>
  </si>
  <si>
    <t>01266_19_00540</t>
  </si>
  <si>
    <t>01266_20_00219</t>
  </si>
  <si>
    <t>01266_19_00170</t>
  </si>
  <si>
    <t>01266_20_00216</t>
  </si>
  <si>
    <t>01266_20_00215</t>
  </si>
  <si>
    <t>01266_19_00781</t>
  </si>
  <si>
    <t>01266_21_00347</t>
  </si>
  <si>
    <t>01266_21_00537</t>
  </si>
  <si>
    <t>01266_22_00359</t>
  </si>
  <si>
    <t>DITV ATAT07 0024</t>
  </si>
  <si>
    <t>01266_21_00348</t>
  </si>
  <si>
    <t>01266_21_00541</t>
  </si>
  <si>
    <t>01266_21_00540</t>
  </si>
  <si>
    <t>01266_21_00343</t>
  </si>
  <si>
    <t>01266_21_00539</t>
  </si>
  <si>
    <t>01266_22_00004</t>
  </si>
  <si>
    <t>01266_22_00001</t>
  </si>
  <si>
    <t>DITV_ATAT07_0079</t>
  </si>
  <si>
    <t>01266_22_00005</t>
  </si>
  <si>
    <t>01266_22_00138</t>
  </si>
  <si>
    <t>01266_22_00538</t>
  </si>
  <si>
    <t>01266_22_00522</t>
  </si>
  <si>
    <t>01266_22_00648</t>
  </si>
  <si>
    <t>01266_22_00517</t>
  </si>
  <si>
    <t>01266_22_00351</t>
  </si>
  <si>
    <t>01266_22_00002</t>
  </si>
  <si>
    <t>01266_22_00003</t>
  </si>
  <si>
    <t>01266_22_00510</t>
  </si>
  <si>
    <t>01266_22_00521</t>
  </si>
  <si>
    <t>01266_22_00523</t>
  </si>
  <si>
    <t>01266_22_00511</t>
  </si>
  <si>
    <t>01266_22_00516</t>
  </si>
  <si>
    <t>01266_22_00531</t>
  </si>
  <si>
    <t>01266_22_00525</t>
  </si>
  <si>
    <t>01266_22_00520</t>
  </si>
  <si>
    <t>01266_22_00529</t>
  </si>
  <si>
    <t>01266_22_00526</t>
  </si>
  <si>
    <t>01266_22_00528</t>
  </si>
  <si>
    <t>01266_22_00527</t>
  </si>
  <si>
    <t>01266_22_00530</t>
  </si>
  <si>
    <t>01266_22_00519</t>
  </si>
  <si>
    <t>01266_22_00427</t>
  </si>
  <si>
    <t>01266_22_00629</t>
  </si>
  <si>
    <t>01266_22_00761</t>
  </si>
  <si>
    <t>ENJOLIVEUR SUP AILE AV</t>
  </si>
  <si>
    <t>Front Face and Hood / Face AV &amp; capot</t>
  </si>
  <si>
    <t>01266_22_00762</t>
  </si>
  <si>
    <t>ENJOLIVEUR SUP COTE CAISSE</t>
  </si>
  <si>
    <t>EXT</t>
  </si>
  <si>
    <t>01266_22_00764</t>
  </si>
  <si>
    <t>BRIDE CONNECTEUR EAU ALLER / RETOUR</t>
  </si>
  <si>
    <t>02/03/2023</t>
  </si>
  <si>
    <t>01266_22_00514</t>
  </si>
  <si>
    <t>ENJOLIVEUR INT GOUSSET PORTE AR</t>
  </si>
  <si>
    <t>INT</t>
  </si>
  <si>
    <t>01266_22_00513</t>
  </si>
  <si>
    <t>ENJOLIVEUR JET EAU</t>
  </si>
  <si>
    <t>01266_23_00142</t>
  </si>
  <si>
    <t>PUSH FERMETURE VOLET</t>
  </si>
  <si>
    <t>01266_23_00141</t>
  </si>
  <si>
    <t>BOITIER COMMANDE OUVERTURE VOLET</t>
  </si>
  <si>
    <t>01266_23_00137</t>
  </si>
  <si>
    <t>EQUILIBREUR OUVRANT AR</t>
  </si>
  <si>
    <t>OUV</t>
  </si>
  <si>
    <t>01266_22_00518</t>
  </si>
  <si>
    <t>01266_22_00766</t>
  </si>
  <si>
    <t>PRISE CHARGE (BEPR)</t>
  </si>
  <si>
    <t>ASS</t>
  </si>
  <si>
    <t>01266_22_00758</t>
  </si>
  <si>
    <t>INSONO PASSAGE DE ROUE AR</t>
  </si>
  <si>
    <t>01266_22_00759</t>
  </si>
  <si>
    <t>DEVIATEUR SANGLE CEINTURE SECURITE AV</t>
  </si>
  <si>
    <t>01266_22_00760</t>
  </si>
  <si>
    <t>INSONO AV/AR</t>
  </si>
  <si>
    <t>01266_22_00763</t>
  </si>
  <si>
    <t>01266_22_00765</t>
  </si>
  <si>
    <t>VITRE MOBILE PORTE SANS CADRE</t>
  </si>
  <si>
    <t>TRAPPE VISITE VOLET</t>
  </si>
  <si>
    <t>Seats and safety belts / SiEges et moyens de retenu</t>
  </si>
  <si>
    <t>ROTULE EQUILIBREUR VOLET AR</t>
  </si>
  <si>
    <t>PARE CHOC AV - ARMATURE</t>
  </si>
  <si>
    <t>DECORS ENJOLIVEURS PDB</t>
  </si>
  <si>
    <t>ENJOLIVEUR DE PLAQUE IMMATRICULATION</t>
  </si>
  <si>
    <t>TRAVERSE SUP FAÇADE BLOC AVANT</t>
  </si>
  <si>
    <t>BOITIER-SECU-DML</t>
  </si>
  <si>
    <t>PLANCHE DE BORD SUR CAISSE</t>
  </si>
  <si>
    <t>PARE CHOC AR - PEAU</t>
  </si>
  <si>
    <t>PARE CHOC AV - SUPPORT SUPERIEUR</t>
  </si>
  <si>
    <t xml:space="preserve">MFRH - MATRICE FUSIBLE RELAIS HABITACLE </t>
  </si>
  <si>
    <t>BOITIER SECURISATION ANTIVOL ELECTRIQUE SECU-AVE</t>
  </si>
  <si>
    <t>GARNITURE DE SUPPORT TABLETTE AR</t>
  </si>
  <si>
    <t>SIEGES RANG1</t>
  </si>
  <si>
    <t>SIEGE INDIVIDUEL RANG 2</t>
  </si>
  <si>
    <t>RAIL SUPPORT SIEGE CENTRALE (SIEGES RANG 3)</t>
  </si>
  <si>
    <t>BPGA - BOITIER DE LA PROTECTION DE LA GESTION DES ALIMENTATION</t>
  </si>
  <si>
    <t>BOÎTIER ECLAIRAGE MEMORISATION (PORTE PASSAGER) (BEM)</t>
  </si>
  <si>
    <t>EQUILIBREUR DE CAPOT</t>
  </si>
  <si>
    <t>VOLET MOTORISE - MAF/MVM</t>
  </si>
  <si>
    <t xml:space="preserve">SUPPORT MOTEUR INTERMEDIAIRE DROIT (SMID) </t>
  </si>
  <si>
    <t>BUTEE D'ATTAQUE TRAIN AR DEFORMABLE</t>
  </si>
  <si>
    <t>FIXATION ECRANS AERAULIQUES SOUS-CAISSE (SI AUTOMATIQUE)</t>
  </si>
  <si>
    <t>DMT - DISPOSITIF MAINTIEN EN TENTION - CENTRALISE</t>
  </si>
  <si>
    <t>CAPTEUR HAUTEUR AV</t>
  </si>
  <si>
    <t>ENJOLIVEUR DE CUSTODE</t>
  </si>
  <si>
    <t xml:space="preserve">GROUPE CLIMATISATION SUR PLANCHE DE BORD </t>
  </si>
  <si>
    <t>RESERVOIR SCR €6 -  REDUCTION CATALYTIQUE SELECTIVE</t>
  </si>
  <si>
    <t>CROCHET SECURITE CAPOT</t>
  </si>
  <si>
    <t>MODULE ENTREE D'AIR PILOTEE</t>
  </si>
  <si>
    <t>CLOISONS ANTI RECYCLAGE</t>
  </si>
  <si>
    <t>ECRAN ACOUSTIQUE</t>
  </si>
  <si>
    <t>BSG BOITIER SERVITUDE GENERIQUE (BSG-RQ / BSG-TC / BSGS / BSR)</t>
  </si>
  <si>
    <t>PARE BOUE AV</t>
  </si>
  <si>
    <t>PARE BOUE AR</t>
  </si>
  <si>
    <t>ELEMENT PORTEUR ASSEMBLAGE</t>
  </si>
  <si>
    <t>GARNITURE INF DE PIED AV</t>
  </si>
  <si>
    <t>CHARNIERE PORTES AV ET AR - FERRAGE</t>
  </si>
  <si>
    <t>GRILLE AUVENT</t>
  </si>
  <si>
    <t>AIRBAG PORTE AR</t>
  </si>
  <si>
    <t>FAISCEAU PRINCIPAL COMPLEMENTAIRE SOUS CAISSE</t>
  </si>
  <si>
    <t>SAC AV INF - SYSTEME D'ABSORPTION DES CHOCS AVANT INFERIEUR</t>
  </si>
  <si>
    <t xml:space="preserve">EVACUATION EAU AUVENT </t>
  </si>
  <si>
    <t xml:space="preserve">FINITIONS LATERALES DE GRILLE D’AUVENT </t>
  </si>
  <si>
    <t>MOUSSE ETANCHEITE LATERALE</t>
  </si>
  <si>
    <t>JOINTS DE PORTE AV AR</t>
  </si>
  <si>
    <t>RADIATEUR SUR TRAVERSE INF ET SUP</t>
  </si>
  <si>
    <t>TRAVERSE INF FAÇADE BLOC AVANT</t>
  </si>
  <si>
    <t xml:space="preserve">CONDENSEUR EVAPORATEUR </t>
  </si>
  <si>
    <t>FIXATION GMV SUR RADIA</t>
  </si>
  <si>
    <t>SUPPORT ECHANGEUR AIR AIR</t>
  </si>
  <si>
    <t>MODULE DEBRAYAGE</t>
  </si>
  <si>
    <t>RACCORD PRISE DEPRESSION FREIN (RPDF) -BRIDAGE SUR MOTEUR</t>
  </si>
  <si>
    <t>TRAIN AR MULTI-BRAS</t>
  </si>
  <si>
    <t xml:space="preserve">CABLE FREIN A MAIN - BRIDAGE SUR TRAIN AR </t>
  </si>
  <si>
    <t>FACADE MULTIFONCTION MUX</t>
  </si>
  <si>
    <t>ADAPTATEUR ANTENNE RADIO FM1 - FM2 - DAB</t>
  </si>
  <si>
    <t>FLEXIBLE FREIN AR - BRIDAGE SUR TRAIN AR</t>
  </si>
  <si>
    <t>CAPTEUR VITESSE ROUE AV</t>
  </si>
  <si>
    <t>AIRBAG PASSAGER</t>
  </si>
  <si>
    <t>CAPTEUR HAUTEUR CAISSE AR</t>
  </si>
  <si>
    <t>CANALISATION EMBRAYAGE HAUTE ET BASSE PRESSION</t>
  </si>
  <si>
    <t>ARRET DE PORTE SUR CAISSE</t>
  </si>
  <si>
    <t>PROTECTEUR COURROIE</t>
  </si>
  <si>
    <t>GARNITURE CADRE PORTE – INTERIEUR</t>
  </si>
  <si>
    <t xml:space="preserve">CAPTEUR PRESSION FILTRE PARTICULE </t>
  </si>
  <si>
    <t>CAPTEURS DE DEPOLLUTION SUR SUPPORT</t>
  </si>
  <si>
    <t>CAPTEURS DE DEPOLLUTION ASS SUR CAISSE</t>
  </si>
  <si>
    <t>SONDE SUR LIGNE D'ECHAPPEMENT</t>
  </si>
  <si>
    <t>COLONNE DIRECTION COMPLETE (PARTIE SUP)</t>
  </si>
  <si>
    <t>RETROVISEUR EXTERIEUR</t>
  </si>
  <si>
    <t>RECEPTEUR RADIO TELEMATIQUE</t>
  </si>
  <si>
    <t>PLAQUETTE REGLAGE FACE AV - FERRAGE</t>
  </si>
  <si>
    <t>FEUX AR SUR CAISSE</t>
  </si>
  <si>
    <t>PULSEUR DEPORTE SUR TRAVERSE</t>
  </si>
  <si>
    <t>VISION TETE HAUTE (VTH) SUR PLANCHE DE BORD</t>
  </si>
  <si>
    <t>BRIDE BATTERIE 12V</t>
  </si>
  <si>
    <t>DEFLECTEUR AIR CENTRAL AV</t>
  </si>
  <si>
    <t>CONVERTISSEUR SUR BOITE AUTOMATIQUE</t>
  </si>
  <si>
    <t>ARTIV/ACC - AIDE AU RESPECT DU TEMPS INTER VEHICULAIRE</t>
  </si>
  <si>
    <t>ENJOLIVEUR COI</t>
  </si>
  <si>
    <t>SUPPORT POIGNEE DE TIRAGE</t>
  </si>
  <si>
    <t>BENITIER</t>
  </si>
  <si>
    <t xml:space="preserve">BFDB BFT BOITIER FUSIBLE </t>
  </si>
  <si>
    <t>LIAISON ENTRE BFT ET BFRM</t>
  </si>
  <si>
    <t xml:space="preserve">SUPPORT MATRICE FUSIBLE RELAIS HABITACLE (MFRH) </t>
  </si>
  <si>
    <t>PARE CHOC AV INF</t>
  </si>
  <si>
    <t>REPOSE PIED</t>
  </si>
  <si>
    <t>CAPTEUR PRESSION PORTE</t>
  </si>
  <si>
    <t>TUYAU DE REMPLISSAGE LAVE VITRE</t>
  </si>
  <si>
    <t xml:space="preserve">BOITIER SUPERVISION RADIO FREQUENCE BSRF </t>
  </si>
  <si>
    <t>COE - FLUSH</t>
  </si>
  <si>
    <t>SUPPORT FLEXIBLE DE FREIN AV SUR PASSAGE DE ROUE AV</t>
  </si>
  <si>
    <t>CAPTEUR DETECTION CHOC MOYEN RETENUE</t>
  </si>
  <si>
    <t>SMIG SUR BOITE (BV)</t>
  </si>
  <si>
    <t>ROUES PRINCIPALES TÔLE</t>
  </si>
  <si>
    <t>ACCOUDOIR SUR CONSOLE</t>
  </si>
  <si>
    <t xml:space="preserve">CONSOLE SUR SUPPORT ARRIERE </t>
  </si>
  <si>
    <t>CACHE CLIMATISUER SUR CAISSE (TUNNEL)</t>
  </si>
  <si>
    <t xml:space="preserve">RACCORDS ENTREE AIR SUR TURBO </t>
  </si>
  <si>
    <t>PARTIE DOSSIER CENTRALE (SIEGE RANG 2)</t>
  </si>
  <si>
    <t>PANORAMIQUE VISUEL SYSTEME</t>
  </si>
  <si>
    <t>COMMANDE DE VITESSES MONOSTABLE</t>
  </si>
  <si>
    <t>DEFLECTEUR AIR SOUS CAISSE</t>
  </si>
  <si>
    <t>COMMANDE DE VITESSES TOGGLE</t>
  </si>
  <si>
    <t>CAMERA VIDEO MULTIFONCTION</t>
  </si>
  <si>
    <t>ECHANGEUR EAU REFROIDISSEMENT BATTERIE DE TRACTION</t>
  </si>
  <si>
    <t>CAPTEUR POSITION PEDALE FREIN</t>
  </si>
  <si>
    <t>CONTACTEUR_STOP_ELECTRONIQUE</t>
  </si>
  <si>
    <t xml:space="preserve">AVERTISSEUR SONORE PIETON </t>
  </si>
  <si>
    <t>DEFLECTEUR ENTREE AIR</t>
  </si>
  <si>
    <t>PROTECTEUR SUR TRAIN ARRIERE TRAVERSE DEFORMABLE</t>
  </si>
  <si>
    <t>DEFLECTEUR AIR BATTERIE TRACTION</t>
  </si>
  <si>
    <t xml:space="preserve">SUPPORT CROCHET SECURITE CAPOT  </t>
  </si>
  <si>
    <t xml:space="preserve">CONDUIT AIR PLACE AV </t>
  </si>
  <si>
    <t>COUVERCLE BAC BATTERIE TRACTION CAS DE ECMP ET EK0</t>
  </si>
  <si>
    <t>GROUPE MOTO-VENTILATEUR</t>
  </si>
  <si>
    <t>RADIATEUR REFROIDISSEMENT</t>
  </si>
  <si>
    <t>CONDUIT D'AIR PLACE AR</t>
  </si>
  <si>
    <t>INSONO TUNNEL</t>
  </si>
  <si>
    <t>CABLE COMMANDE OUVERTURE DE CAPOT</t>
  </si>
  <si>
    <t>RETROVISEUR INTERIEUR</t>
  </si>
  <si>
    <t>FLASQUE CONSOLE D/G</t>
  </si>
  <si>
    <t xml:space="preserve">CACHE PIED RETROVISEUR INTERIEUR    </t>
  </si>
  <si>
    <t>COMMANDE EXTERIEURE OUVERTURE VOLET AR</t>
  </si>
  <si>
    <t xml:space="preserve">CAPTEUR DETECTION PLUIE </t>
  </si>
  <si>
    <t>POMMEAU COMMANDE VITESSE</t>
  </si>
  <si>
    <t>EXTRACTEUR AIR</t>
  </si>
  <si>
    <t xml:space="preserve">GARNITURE PANNEAU ARRIERE </t>
  </si>
  <si>
    <t xml:space="preserve">PLATINE CONTACTEUR LEVE VITRE </t>
  </si>
  <si>
    <t>INSONO COLLECTEUR AUVENT</t>
  </si>
  <si>
    <t>AIRBAG GONFLABLE COUSSIN VOLANT</t>
  </si>
  <si>
    <t xml:space="preserve">DEFLECTEUR AR SAC GONFLABLE LAT PAVILLON </t>
  </si>
  <si>
    <t>SAC GONFLABLE GENOU CONDUCTEUR ET PASSAGER</t>
  </si>
  <si>
    <t>SUPPORT POMPE EAU ELECTRIQUE</t>
  </si>
  <si>
    <t>BARRETTE CONNEXION BATTERIE HT</t>
  </si>
  <si>
    <t>CABLE HT AV  BOITIER CHARGE PRISE NORMALE-ECMP</t>
  </si>
  <si>
    <t>SUPPORT CABLE CHARGE DOMESTIQUE</t>
  </si>
  <si>
    <t>MICRO RADIO TELEPHONE</t>
  </si>
  <si>
    <t>SUPPORT CHARGEUR EMBARQUE BATTERIE TRACTION</t>
  </si>
  <si>
    <t>SUPPORT POMPE EAU ELECTRIQUE 1 (ECMP)</t>
  </si>
  <si>
    <t>CHARGEUR EMBARQUE BATTERIE TRACTION</t>
  </si>
  <si>
    <t>ENJOLIVEUR CONSOLE PAVILLON</t>
  </si>
  <si>
    <t>JOINT ENTREE AIR</t>
  </si>
  <si>
    <t>CACHE LAT CLIMATISEUR D-G</t>
  </si>
  <si>
    <t>RENFORT PAVILLON</t>
  </si>
  <si>
    <t>SUPPORT COMMANDE OUVERTURE CAPOT (EMP2)</t>
  </si>
  <si>
    <t>MODULE SURVEILLANCE BATTERIE</t>
  </si>
  <si>
    <t>ELEMENT_ELASTIQUE_DE_SUSPENSION_GMP_SUPP_ EMP2 (BIELLETTE ANTI-COUPLE)</t>
  </si>
  <si>
    <t>LIAISON JAMBE FORCE TUNNEL</t>
  </si>
  <si>
    <t>RESISTANCE DE CHARGE COMMUTEE</t>
  </si>
  <si>
    <t>SUPPORT PLAQUE IMMATRICULATION AV</t>
  </si>
  <si>
    <t>IMPACTEUR ePWT</t>
  </si>
  <si>
    <t>ROTULE ET SUPPORT ROTULE CAPTUER HAUTEUR AV</t>
  </si>
  <si>
    <t>BIELLETTE CAPTEUR HAUTEUR AV</t>
  </si>
  <si>
    <t>RAIL SUPPORT SIEGE LATERAL (SIEGES RANG 3)</t>
  </si>
  <si>
    <t xml:space="preserve">SIRENE ALARME PREP </t>
  </si>
  <si>
    <t>SUPPORT ESP</t>
  </si>
  <si>
    <t>GOULOTTE FAISCEAUX EVMP</t>
  </si>
  <si>
    <t>CHARNIERE VITRE CUSTODE</t>
  </si>
  <si>
    <t>COMMANDE VITRE CUSTODE</t>
  </si>
  <si>
    <t>SUPPORT PLAQUE IMMATRICULATION AR JAPON</t>
  </si>
  <si>
    <t>SUPPORT APPUI AV BERCEAU</t>
  </si>
  <si>
    <t>BOITIER ELECTRONIQUE DISJONCTEUR</t>
  </si>
  <si>
    <t>PALIER ESSUIE VITRE</t>
  </si>
  <si>
    <t>BIELLE ESSSUIE-VITRE</t>
  </si>
  <si>
    <t>SUPPORT FLEXIBLE FREIN AV</t>
  </si>
  <si>
    <t>CONSOLE PAVILLON</t>
  </si>
  <si>
    <t>CACHE FIXATION LAT PLANCHE DE BORD</t>
  </si>
  <si>
    <t>GARNITURE REPOSE PIED</t>
  </si>
  <si>
    <t>ATTELAGE REMORQUE</t>
  </si>
  <si>
    <t xml:space="preserve">IMPACTEUR DROIT ePWT </t>
  </si>
  <si>
    <t>ACTIONNEUR PYROTECHNIQUE CHARNIERE CAPOT</t>
  </si>
  <si>
    <t>PARTIE ASSISE ARTICULE COUSSIN (SIEGES RANG 2 )</t>
  </si>
  <si>
    <t xml:space="preserve">MODULE ELECTRIQUE DANS LE PACK BATTERIE </t>
  </si>
  <si>
    <t>PROTECTEUR CHARGEUR EMBARQUE BATTERIE TRACTION</t>
  </si>
  <si>
    <t>FIL DE MASSE</t>
  </si>
  <si>
    <t xml:space="preserve">AVERTISSEUR MAIN LIBRE </t>
  </si>
  <si>
    <t>SUPPORT ELASTIQUE D GEM AV ASS sur ePWT</t>
  </si>
  <si>
    <t>SUPPORT ANTI COUPLE INF D GEM AV sur ePWT</t>
  </si>
  <si>
    <t xml:space="preserve">ENCEINTE ACOUSTIQUE GRAVE </t>
  </si>
  <si>
    <t>TRAPPE ACCES ANNEAU REMORQUAGE</t>
  </si>
  <si>
    <t>GRILLE SUP ET INF PARE-CHOCS AV</t>
  </si>
  <si>
    <t>COLLECTEUR SORTIE EAU sur ePWT</t>
  </si>
  <si>
    <t>BALAIS ESSUIE VITRE AR</t>
  </si>
  <si>
    <t>CANALISATION CARBURANT (regroupe 2 fiches)</t>
  </si>
  <si>
    <t>ELECTROVANNE 2 VOIES HAUTE PRESSION sue ePWT</t>
  </si>
  <si>
    <t>CONDENSEUR EAU CIRCUIT AEROTHERME ENS sur ePWT</t>
  </si>
  <si>
    <t>BOITIER FUSIBLE HAUTE TENSION sur ePWT</t>
  </si>
  <si>
    <t>FIL MASSE RECHAUFFEUR EAU</t>
  </si>
  <si>
    <t>SUPPORT PRISE CHARGE sur CAISSE</t>
  </si>
  <si>
    <t>EMBOUT SORTIE EAU sur ePWT</t>
  </si>
  <si>
    <t>JOINT ANTIPINCEMENT ENTREE VOLET AR</t>
  </si>
  <si>
    <t>CROCHET PARE SOLEIL</t>
  </si>
  <si>
    <t>ATTACHE BAGAGE AV</t>
  </si>
  <si>
    <t>TUYAU CHARGEUR BATTERIE sur ePWT</t>
  </si>
  <si>
    <t>CLAPET ANTI RETOUR EAU sur ePWT</t>
  </si>
  <si>
    <t>RESISTANCE RECHAUFFAGE EAU BASSE TENSION</t>
  </si>
  <si>
    <t>TUYAU EAU ENTREE CHARGEUR sur ePWT</t>
  </si>
  <si>
    <t>TRAVERSE SUPPORT GROUPE ELECTROMOTEUR</t>
  </si>
  <si>
    <t>ELECTROVANNE REFROIDIS BATTERIE TRACTION sur ePWT</t>
  </si>
  <si>
    <t>ROUES PRINCIPALES (regroupe 2 fiches)</t>
  </si>
  <si>
    <t>TUYAU REFRIGERATION COMPRESSION</t>
  </si>
  <si>
    <t>SIEGE RANG 2 (regroupe plusieurs fiches)</t>
  </si>
  <si>
    <t>PARE CHOC AV - PLAGE AVANT</t>
  </si>
  <si>
    <t>PARE CHOC AV - PEAU</t>
  </si>
  <si>
    <t>PARE CHOC AR - SUPPORT LATERAL (D/G)</t>
  </si>
  <si>
    <t>PARE CHOC AR - RENFORT LATERAL ABSORBEUR D&amp;G</t>
  </si>
  <si>
    <t>CEINTURE AR - RETOUR SANGLE</t>
  </si>
  <si>
    <t>HAUT PARLEUR (HP) VOIE CENTRALE SUR PLANCHE DE BORD</t>
  </si>
  <si>
    <t>PARE CHOC AR - SUPPORT SOUS FEUX D &amp; G</t>
  </si>
  <si>
    <t>BRIN BOUCLE CEINTURE SECURITE AR</t>
  </si>
  <si>
    <t>BLOC ALARME SUR CAISSE</t>
  </si>
  <si>
    <t>BOITIER 4 MAXI FUSIBLE (B4MF)</t>
  </si>
  <si>
    <t>TAPIS DE COFFRE</t>
  </si>
  <si>
    <t>GARNITURE SEUIL COFFRE</t>
  </si>
  <si>
    <t>BRANCHEMENT FAISCEAUX SUR BSM OU BFRM</t>
  </si>
  <si>
    <t>ECRANS THERMIQUES ECHAPPEMENT SUR CAISSE</t>
  </si>
  <si>
    <t>FILTRE A AIR</t>
  </si>
  <si>
    <t>PARE CHOC AV - ABSORBEUR</t>
  </si>
  <si>
    <t>GARNITURE LEVIER DE VITESSE</t>
  </si>
  <si>
    <t>AMPLIFICATEUR RECEPTEUR RADIO</t>
  </si>
  <si>
    <t>COLONNE DIRECTION PARTIE INF</t>
  </si>
  <si>
    <t>TUBES DE FREIN MCT (ENTRE AMCT ET BLOC ABS / ESP)</t>
  </si>
  <si>
    <t>CABLE DE FREIN A MAIN SUR LEVIER</t>
  </si>
  <si>
    <t>TUYAU AEROTHERME (ENTREE ET SORTIE) SUR TABLIER</t>
  </si>
  <si>
    <t>CALCULATEUR COMELEC - COMMANDE ELECTRIQUE DE BVA</t>
  </si>
  <si>
    <t>FACADE AVANT TECHNIQUE (FAT) SUR CAISSE - PFA</t>
  </si>
  <si>
    <t>BOITIER CORRECTEUR D'ASSIETTE AR (CAAR)</t>
  </si>
  <si>
    <t>LAVE PROJECTEUR</t>
  </si>
  <si>
    <t>BRANCHEMENT FAISCEAUX ABR SUR BLOC</t>
  </si>
  <si>
    <t>CAPTEUR CENTRALE INERTIELLE</t>
  </si>
  <si>
    <t>DSG - BOITIER DETECTION SOUS GONFLAGE</t>
  </si>
  <si>
    <t>GARNITURE DE VOLET ET DE COFFRE</t>
  </si>
  <si>
    <t>STTA - UCAP &amp; DMT - CALCULATEUR STOP AND START</t>
  </si>
  <si>
    <t>AFIL - ALERTE FRANCHISSEMENT INVOLONTAIRE DE LIGNE</t>
  </si>
  <si>
    <t>BOÎTIER SERVITUDE MULTIFONCTIONNEL ET VEHICULE SUPERVISION MODULE</t>
  </si>
  <si>
    <t>FAISCEAU PUISSANCE SOUS CAISSE</t>
  </si>
  <si>
    <t>CABLE FREIN A MAIN - BRIDAGE SUR CAISSE</t>
  </si>
  <si>
    <t>EMBASE CONNECTEUR HV</t>
  </si>
  <si>
    <t>SERRURE DE CAPOT</t>
  </si>
  <si>
    <t>ROUES PRINCIPALES ALU</t>
  </si>
  <si>
    <t>BSM - BFRM - BOITIER SERVITUDE MOTEUR / BOITIER FUSIBLE RELAIS MOTEUR</t>
  </si>
  <si>
    <t>CHARGEUR CD - COFFRE</t>
  </si>
  <si>
    <t>DIFFUSEURS AERATION PDB</t>
  </si>
  <si>
    <t>VISIERE DE COMBINE</t>
  </si>
  <si>
    <t>GAINE COLONNE</t>
  </si>
  <si>
    <t>BARRE PORTE-BAGAGES LONGITUDINALE D / G</t>
  </si>
  <si>
    <t>TWEETER</t>
  </si>
  <si>
    <t>ANTIVOL DIRECTION</t>
  </si>
  <si>
    <t xml:space="preserve">GROUPE CLIMATISATION </t>
  </si>
  <si>
    <t>BSC BSR BTC - BOITIER SERVITUDE COFFRE</t>
  </si>
  <si>
    <t>BRANCHEMENT FAISCEAUX PARE CHOC AV</t>
  </si>
  <si>
    <t>PROJECTEURS</t>
  </si>
  <si>
    <t>SUPPORT CONSOLE SUR TUNNEL</t>
  </si>
  <si>
    <t>SAC AR - SYSTEME ABSORPTION CHOC ARRIERE</t>
  </si>
  <si>
    <t>SAC AV SYSTEME ABSORPTION CHOC AV SUPERIEUR</t>
  </si>
  <si>
    <t>FIXATION COMPLETE BV SUR MOTEUR_OFFICIELLE.XLS</t>
  </si>
  <si>
    <t>BUTEE EMBRAYAGE SUR BVM</t>
  </si>
  <si>
    <t>AIRBAG GENOUX</t>
  </si>
  <si>
    <t>CIRCUITS AIR SUR CASSETTE (RAS)</t>
  </si>
  <si>
    <t>COMMANDE VITESSE HAUTE</t>
  </si>
  <si>
    <t>PARE CHOC AV</t>
  </si>
  <si>
    <t>PARE CHOC AR</t>
  </si>
  <si>
    <t>BOITIER ELECTRIQUE COMMANDE GMV</t>
  </si>
  <si>
    <t>BECQUET</t>
  </si>
  <si>
    <t>CASSETTE DE REFROIDISSEMENT (MISE EN PLACE)</t>
  </si>
  <si>
    <t>CENDRIER</t>
  </si>
  <si>
    <t>FACADE CENTRALE</t>
  </si>
  <si>
    <t>SIEGES</t>
  </si>
  <si>
    <t>BATTERIE - BRANCHEMENT</t>
  </si>
  <si>
    <t>COLONNE DE DIRECTION COMPLETE (regoupe 2 fiches)</t>
  </si>
  <si>
    <t>ACCOSTAGE BV SUR MOTEUR</t>
  </si>
  <si>
    <t>ALTERNATEUR / ALTERNO-DEMARREUR</t>
  </si>
  <si>
    <t>PALIER TRANSMISSION MULTIFONCTIONNEL (SMIF)</t>
  </si>
  <si>
    <t>COMPRESSEUR REFRIGERATION</t>
  </si>
  <si>
    <t>BOITIER AFS (FEUX TOURNANTS)</t>
  </si>
  <si>
    <t>BOITIER PRE POST CHAUFFAGE BPPCH SUR CAISSE</t>
  </si>
  <si>
    <t>SPHERES ELEMENTS PORTEURS AV ET RACCORDEMENTS HYDRAULIQUES</t>
  </si>
  <si>
    <t>VOLANT</t>
  </si>
  <si>
    <t>BPCB/BFDB - BOITIER PROTECTION DE CABLE BATTERIE - BOITIER FUSIBLE DEPART BATTERIE</t>
  </si>
  <si>
    <t>GACHE DE PORTE</t>
  </si>
  <si>
    <t>SUPPORT MOTEUR INFERIEUR (SMIF)</t>
  </si>
  <si>
    <t>DEMONTAGE / REMONTAGE PORTE LATERALE BATTANTE</t>
  </si>
  <si>
    <t>PARE BRISE</t>
  </si>
  <si>
    <t>LUNETTE FIXE</t>
  </si>
  <si>
    <t>SONDE ENSOLEILLEMENT</t>
  </si>
  <si>
    <t>BOITE DE VITESSES SUR MOTEUR</t>
  </si>
  <si>
    <t>TOLE FERMETURE BV</t>
  </si>
  <si>
    <t>ENJOLIVEUR SEUIL DE PORTE</t>
  </si>
  <si>
    <t>ENJOLIVEUR LATERAL PARE BRISE</t>
  </si>
  <si>
    <t>MODULE AUTO ECOLE</t>
  </si>
  <si>
    <t>DESIGNATEUR COMMANDE AIDE NAVIGATION</t>
  </si>
  <si>
    <t>ECRANS AERAULIQUES SOUS CAISSE</t>
  </si>
  <si>
    <t>PARE BOUE</t>
  </si>
  <si>
    <t>BERCEAU</t>
  </si>
  <si>
    <t>RACCORD PRISE DEPRESSION FREIN (RPDF) - BRANCHEMENT SUR MOTEUR</t>
  </si>
  <si>
    <t>SUPPORT ECRAN MULTIFONCTIONS</t>
  </si>
  <si>
    <t>ENJOLIVEUR ECRAN MULTIFONCTIONS</t>
  </si>
  <si>
    <t>COM 200X VCCF BVMP - BLOC COMMUTATEUR MULTIFONCTION</t>
  </si>
  <si>
    <t>CACHE MOTEUR</t>
  </si>
  <si>
    <t>ACTIONNEUR COMMANDE DE VITESSE SUR BOITE PILOTEE</t>
  </si>
  <si>
    <t>ACTIONNEUR COMMANDE EMBRAYAGE (BOITE PILOTEE)</t>
  </si>
  <si>
    <t>RECHAUFFEUR ADDITIONNEL CIRCUIT EAU MOTEUR</t>
  </si>
  <si>
    <t>CANALISATIONS-CARBURANT-ET-VAPEUR-ESSENCE</t>
  </si>
  <si>
    <t>COL ENTREE AIR</t>
  </si>
  <si>
    <t>CANALISATION DA SUR BOCAL LDS OU GEP</t>
  </si>
  <si>
    <t>PARE CHOC AR  - SUPPORT CENTRAL</t>
  </si>
  <si>
    <t>ECLAIREUR PLAQUE DE POLICE</t>
  </si>
  <si>
    <t>CANALISATIONS CARBURANT</t>
  </si>
  <si>
    <t>REPETITEURS LATERAUX</t>
  </si>
  <si>
    <t>CAPTEURS CIRCUITS AIR ADMISSION</t>
  </si>
  <si>
    <t>JAUGE HUILE ELECTRIQUE</t>
  </si>
  <si>
    <t>PRISE TACHYMETRE OU OBTURATEUR</t>
  </si>
  <si>
    <t>ACCOUDOIR CONSOLE</t>
  </si>
  <si>
    <t>ENJOLIVEURS BAS DE CAISSE</t>
  </si>
  <si>
    <t>SONDE OXYGENE</t>
  </si>
  <si>
    <t>DEMARREUR</t>
  </si>
  <si>
    <t>RUPTEUR CAPOT ALARME</t>
  </si>
  <si>
    <t>BUTEE HYDRAULIQUE (CSC) MONTEE EN UM</t>
  </si>
  <si>
    <t>TUYAU MISE EN CHARGE SUR BOITE DE DEGAZAGE</t>
  </si>
  <si>
    <t>TUYAU DE DEGAZAGE SUR RADIA ET BOITE DE DEGAZAGE</t>
  </si>
  <si>
    <t>TUYAU EAU ENTREE SORTIE AEROTHERME</t>
  </si>
  <si>
    <t>IMPACTEUR GMP THERMIQUE</t>
  </si>
  <si>
    <t>CAPTEUR DE REGIME MOTEUR ET OU POINT MORT HAUT</t>
  </si>
  <si>
    <t>ARRÊT GAINE CABLE COMMANDE VITESSE</t>
  </si>
  <si>
    <t>ECRAN VIDEO TACTILE</t>
  </si>
  <si>
    <t>AVERTISSEUR SONORE</t>
  </si>
  <si>
    <t>FEUX AR SUR VOLET</t>
  </si>
  <si>
    <t>FAISCEAU BVMP - BOITE DE VITESSE MANUELLE PILOTEE</t>
  </si>
  <si>
    <t>BIELLETTE DE DIRECTION AV SUR PIVOT</t>
  </si>
  <si>
    <t>PALIER TRANSMISSION (NON MULTIFONCTIONNEL)</t>
  </si>
  <si>
    <t>RACCORDS ECHANGEUR EAU HUILE</t>
  </si>
  <si>
    <t>TUYAUX PRESSION ENTREE &amp; SORTIE FAP</t>
  </si>
  <si>
    <t>ROUE DE SECOURS CRIC</t>
  </si>
  <si>
    <t>COMMANDES REGULATION SUSPENSION AR</t>
  </si>
  <si>
    <t>MISE EN PLACE COURROIES ENTRAINEMENT ACCESSOIRES</t>
  </si>
  <si>
    <t>EQUERRE RENFORT COLLECTEUR ADMISSION</t>
  </si>
  <si>
    <t>RACCORD AVEC VIS DE PURGE SUR BUTEE HYDRAULIQUE D’EMBRAYAGE (CSC)</t>
  </si>
  <si>
    <t>PILOTAGE DE LA VANNE EGR</t>
  </si>
  <si>
    <t>RESERVE DE VIDE SUR MOTEUR</t>
  </si>
  <si>
    <t>COMMUTATION (PUSHS - BARRETTE DE PUSHS - JOYSTICK, MOLETTE,…)</t>
  </si>
  <si>
    <t>CAPTEUR ULTRASON POUR ALARME</t>
  </si>
  <si>
    <t>CHARNIERE CAPOT - FERRAGE</t>
  </si>
  <si>
    <t>ELEMENT ELASTIQUE DE SUSPENSION GMP SUR MOTEUR</t>
  </si>
  <si>
    <t>CHARNIERE DE VOLET</t>
  </si>
  <si>
    <t>CAPTEUR CIRCUITS EAU HUILE ET CARBURANT</t>
  </si>
  <si>
    <t>ECRAN THERMIQUE SUR CIRCUIT D HUILE</t>
  </si>
  <si>
    <t>COMMANDES REGULATION SUSPENSION AV</t>
  </si>
  <si>
    <t>FONCTION COMELEC - ACTIONNEUR ET SUPPORT</t>
  </si>
  <si>
    <t>VANNE ET TUYAU REASPIRATION VAPEURS HUILE</t>
  </si>
  <si>
    <t>APPROVISIONNEMENT BERCEAU</t>
  </si>
  <si>
    <t>ECRANS THERMIQUES SUR ELEMENTS ELECTRIQUES</t>
  </si>
  <si>
    <t>CAPTEUR - PRESENCE D'EAU DANS GAZOLE</t>
  </si>
  <si>
    <t>CALCULATEUR BOITE DE VITESSE SUR GMP</t>
  </si>
  <si>
    <t>ECRAN THERMIQUE SUR MECANISME DE DIRECTION</t>
  </si>
  <si>
    <t>APPROVISIONNEMENT TRAIN AR</t>
  </si>
  <si>
    <t>APPROVISIONNEMENT BLOC ABS ESP</t>
  </si>
  <si>
    <t>TUBES DE FREIN MEP AV RACCORD AVAR SUR BLOC</t>
  </si>
  <si>
    <t>CANALISATION FREIN SOUS CAISSE SUR FLEXIBLE DE FREIN AR</t>
  </si>
  <si>
    <t>CANALISATION FREIN AV SUR FLEXIBLE FREIN AV</t>
  </si>
  <si>
    <t>CANALISATIONS DA SUR MECANISME (DIRECTION HYDRAULIQUE)</t>
  </si>
  <si>
    <t>CALCULATEUR KML (KIT MAINS LIBRES), BOITIER NOMADE (USBBOX), MDS (MODULE DE SERVICE)</t>
  </si>
  <si>
    <t>FAISCEAU MOTEUR</t>
  </si>
  <si>
    <t>CABLE NEGATIF BATTERIE</t>
  </si>
  <si>
    <t>CABLE POSITIF BATTERIE</t>
  </si>
  <si>
    <t>CAPTEUR PRESSION DELTA P FAP SUR BERCEAU</t>
  </si>
  <si>
    <t>SONDES ET CAPTEURS DEPOLLUTION</t>
  </si>
  <si>
    <t>ELECTROVANNES SUR GMP</t>
  </si>
  <si>
    <t>TRIANGLE SUSPENSION  AV (G&amp;D)</t>
  </si>
  <si>
    <t>RACCORDS SORTIE AIR SUR TURBO</t>
  </si>
  <si>
    <t>ECRAN THERMIQUE SUR ELEMENTS RAPPORTES</t>
  </si>
  <si>
    <t>GUIDE JAUGE (DW12B)</t>
  </si>
  <si>
    <t>BOITIER ELECTRONIQUE CONTROLE MOTEUR</t>
  </si>
  <si>
    <t>EQUERRE RENFORT TUBE AV</t>
  </si>
  <si>
    <t>MECANISME DE DIRECTION</t>
  </si>
  <si>
    <t>ECRAN THERMIQUE SUR ECHAPPEMENT (PRE CATA)</t>
  </si>
  <si>
    <t>FAISCEAU PLANCHE DE BORD</t>
  </si>
  <si>
    <t>TUYAUTERIE AV CATALYSEUR</t>
  </si>
  <si>
    <t>BOITIER ADML - ACCES DEMARRAGE MAIN LIBRE</t>
  </si>
  <si>
    <t>TRANSMISSION SUR PALIER INTERMEDIAIRE</t>
  </si>
  <si>
    <t>MISE EN PLACE RESERVOIR CARBURANT</t>
  </si>
  <si>
    <t>TUYAU DE DEGAZAGE - RACCORD ET BRIDAGE</t>
  </si>
  <si>
    <t>ENJOLIVEUR MONTANT DE BAIE</t>
  </si>
  <si>
    <t>DIVERSES CANALISATIONS D'EAU (CHAUFFAGE ADDITIONNEL…) / CIRCUITS EAU + AIR</t>
  </si>
  <si>
    <t>RESERVE DE VIDE SUR VEHICULE</t>
  </si>
  <si>
    <t>SUPPORT ACCESSOIRES</t>
  </si>
  <si>
    <t>GALET TENDEUR GALET ENROULEUR</t>
  </si>
  <si>
    <t>ECRAN THERMIQUE ECHAPPEMENT COTE MOTEUR</t>
  </si>
  <si>
    <t>PROTECTEURS (FILTRE A GAZOLE, ALTERNATEUR,...)</t>
  </si>
  <si>
    <t>AMORTISSEUR AR SUR TRAIN PF2 RG30</t>
  </si>
  <si>
    <t>AILES AV - FERRAGE</t>
  </si>
  <si>
    <t>ECRANS THERMIQUES SUR SMIF</t>
  </si>
  <si>
    <t>FLEXIBLE FREIN AV</t>
  </si>
  <si>
    <t>FLEXIBLE FREIN AR</t>
  </si>
  <si>
    <t>ECRANS THERMIQUES ECHAPPEMENT RESERVOIR MEP</t>
  </si>
  <si>
    <t>CAPTEUR VITESSE ROUE AR</t>
  </si>
  <si>
    <t>RACCORD ENTREE ET SORTIE RADIATEUR SUR RADIATEUR</t>
  </si>
  <si>
    <t>BARRE ANTI DEVERS AV</t>
  </si>
  <si>
    <t>ELEMENT PORTEUR AV SUR PIVOT</t>
  </si>
  <si>
    <t>BIELLETTE BARRE ANTI DEVERS AV</t>
  </si>
  <si>
    <t>SUSPENTE ECHAPPEMENT</t>
  </si>
  <si>
    <t>BARRE ANTI DEVERS AR</t>
  </si>
  <si>
    <t>POMPE DA OU TANDEM</t>
  </si>
  <si>
    <t>SUPPORT ENROULEUR CEINTURE PIED MILIEU</t>
  </si>
  <si>
    <t xml:space="preserve">SUPPORT BIELLETTES ANTI COUPLE VERTICALES (SUR MOTEUR ET SUR CAISSE) </t>
  </si>
  <si>
    <t>CANALISATIONS HYDRAULIQUES (NAPPES)</t>
  </si>
  <si>
    <t>CABLES COMMANDE VITESSE SUR BOITE</t>
  </si>
  <si>
    <t>BOITIER FSE FREIN DE STATIONNEMENT (OU SECONDAIRE) ELECTRIQUE</t>
  </si>
  <si>
    <t>INSONO SOUS CAPOT</t>
  </si>
  <si>
    <t>CAPTEUR HAUTEUR CAISSE SUSPENSION AMVAR AMMORTISSEMENT VARIABLE</t>
  </si>
  <si>
    <t>CAPTEUR HAUTEUR DE CAISSE CAAR CORRECTEUR D’ASSIETTE ARRIERE</t>
  </si>
  <si>
    <t>DISQUE FREIN AR</t>
  </si>
  <si>
    <t>CIRCUIT REFROIDISSEUR DA</t>
  </si>
  <si>
    <t>RESERVOIR ADDITIF</t>
  </si>
  <si>
    <t>CSS - CALCULATEUR SUPERVISEUR SUSPENSION</t>
  </si>
  <si>
    <t>PARE CHOC AR ASSEMBLE SOUS CAISSE SUR PANNEAU AR</t>
  </si>
  <si>
    <t>ECRAN SOUS MOTEUR (ESM)</t>
  </si>
  <si>
    <t>EMBLEME &amp; MONOGRAMMES</t>
  </si>
  <si>
    <t>GACHE-OUVRANT-AR_OFFICIELLE.XLS</t>
  </si>
  <si>
    <t>JOINT DE JET D'EAU</t>
  </si>
  <si>
    <t>COL-D ENTREE-D AIR_OFFICIELLE.XLS</t>
  </si>
  <si>
    <t>RACCORDS ENTREE ET SORTIE RADIATEUR</t>
  </si>
  <si>
    <t>BTA - BOITIER TELEMATIQUE AUTONOME</t>
  </si>
  <si>
    <t>BRIN BOUCLE AR</t>
  </si>
  <si>
    <t>PLAQUE PASSE GAINE, AEROTHERME</t>
  </si>
  <si>
    <t>PARE CHOC AV - CALANDRE</t>
  </si>
  <si>
    <t xml:space="preserve">ENJOLIVEUR PAVILLON (JONCS LONGS ET COURT) </t>
  </si>
  <si>
    <t>FAISCEAU-PUISSANCE-SOUS-CAISSE_OFFICIELLE.XLS</t>
  </si>
  <si>
    <t xml:space="preserve">TUYAU EAU ENTREE SORTIE RADIATEUR COTE RADIATEUR </t>
  </si>
  <si>
    <t>BRANCHEMENT SERRURE</t>
  </si>
  <si>
    <t>COULISSE</t>
  </si>
  <si>
    <t>FEUILLE ETANCHEITE de PORTE</t>
  </si>
  <si>
    <t>PROTECTEUR DE PORTE</t>
  </si>
  <si>
    <t>ENJOLIVEUR INT GOUSSET PORTE</t>
  </si>
  <si>
    <t>VERROU NON INTEGRE A LA COE</t>
  </si>
  <si>
    <t>BUTEE OUVRANT AR</t>
  </si>
  <si>
    <t>INSONO TABLIER COTE HABITACLE</t>
  </si>
  <si>
    <t>INSONO TABLIER COTE MOTEUR</t>
  </si>
  <si>
    <t>VITRE MOBILE DE PORTE</t>
  </si>
  <si>
    <t>HAUT-PARLEUR WOOFER PORTE AV &amp; AR</t>
  </si>
  <si>
    <t xml:space="preserve">COE - COMMANDE D'OUVERTURE EXTERIEURE </t>
  </si>
  <si>
    <t>COI - COMMANDE D'OUVERTURE INTERIEURE</t>
  </si>
  <si>
    <t>LECHEUR INTERIEUR</t>
  </si>
  <si>
    <t>JOINT AV DE PORTE</t>
  </si>
  <si>
    <t>COMMANDE D'OUVERTURE EXTERIEURE COE / ETRIER EMBASE VERROU ET ENJOLIVEUR</t>
  </si>
  <si>
    <t>MECANISME LEVE VITRE</t>
  </si>
  <si>
    <t>EMBASE ANTENNE</t>
  </si>
  <si>
    <t>JOINT ANTI SALISSURES</t>
  </si>
  <si>
    <t>ARRET DE PORTE</t>
  </si>
  <si>
    <t>PLAQUE CONSTRUCTEUR</t>
  </si>
  <si>
    <t>TUYAU LAVE GLACE HABITACLE</t>
  </si>
  <si>
    <t>COQUILLE RETROVISEUR</t>
  </si>
  <si>
    <t>ENTRETOISE ABSORBEUR CHOC INT PORTE</t>
  </si>
  <si>
    <t>CABLE-OUVERTURE-CAPOT_OFFICIELLE.XLS</t>
  </si>
  <si>
    <t>COMMANDE OUVERTURE FERMETURE MANUELLE CAPOT</t>
  </si>
  <si>
    <t>CAPTEUR DETECTION CHOC</t>
  </si>
  <si>
    <t>VITRE FIXE</t>
  </si>
  <si>
    <t>SERRURE OUVRANT AR</t>
  </si>
  <si>
    <t>ENJOLIVEUR JET EAU - EXTERIEUR</t>
  </si>
  <si>
    <t xml:space="preserve">PLATINE DE PORTE CONDUCTEUR - COMMANDES LEVE VITRE, RETRO,…) </t>
  </si>
  <si>
    <t>FAISCEAU HABITACLE &amp; COFFRE</t>
  </si>
  <si>
    <t>FAISCEAU PRINCIPAL</t>
  </si>
  <si>
    <t>CABLE ANTENNE COAXIAL (ZONE HABITACLE)</t>
  </si>
  <si>
    <t>FAISCEAU PORTE</t>
  </si>
  <si>
    <t>ENJOLIVEUR ENCADREMENT DE PORTE - EXTERIEUR</t>
  </si>
  <si>
    <t>FAISCEAU VOLET</t>
  </si>
  <si>
    <t>GARNITURE DE PAVILLON</t>
  </si>
  <si>
    <t>JOINT OUVRANT AR</t>
  </si>
  <si>
    <t>GARNITURE DE MONTANT DE BAIE ET GARNITURE SUP DE PIED AV</t>
  </si>
  <si>
    <t>TUBE GUIDE CABLE FREIN A MAIN</t>
  </si>
  <si>
    <t>BRANCHEMENT RETROVISEUR</t>
  </si>
  <si>
    <t>JOINT AR DE CAPOT</t>
  </si>
  <si>
    <t>GARNITURE DE PIED MILIEU</t>
  </si>
  <si>
    <t>CONSOLE PAVILLON ASS</t>
  </si>
  <si>
    <t>TOIT OUVRANT</t>
  </si>
  <si>
    <t>AIRBAG RIDEAU</t>
  </si>
  <si>
    <t xml:space="preserve">TAPIS &amp; REPOSE PIED ACTIF SI INTEGRE </t>
  </si>
  <si>
    <t>GARNITURE DE LONGERON</t>
  </si>
  <si>
    <t>POIGNEE DE MAINTIEN ET RANGE LUNETTE</t>
  </si>
  <si>
    <t>EVACUATION TOIT OUVRANT</t>
  </si>
  <si>
    <t>JOINT D'ENTREE DE PORTES AV AR</t>
  </si>
  <si>
    <t>ENJOLIVEUR PAVILLON JONC COURT</t>
  </si>
  <si>
    <t>3EME FEU STOP</t>
  </si>
  <si>
    <t>PLAFONNIER</t>
  </si>
  <si>
    <t>PARE SOLEIL</t>
  </si>
  <si>
    <t>CUSTODE FIXE ET FENETRON COLLE</t>
  </si>
  <si>
    <t>PEDALE ACCELERATEUR ELECTRIQUE</t>
  </si>
  <si>
    <t>OCCULTEUR CIELO</t>
  </si>
  <si>
    <t>GARNITURE LATERALE DE COFFRE</t>
  </si>
  <si>
    <t>GACHE OUVRANT AR</t>
  </si>
  <si>
    <t>LEVIER FREIN A MAIN FSM FREIN SECONDAIRE MECANIQUE</t>
  </si>
  <si>
    <t xml:space="preserve">CEINTURE AV- ENROULEUR ET RENVOI </t>
  </si>
  <si>
    <t>CEINTURE AR - ENROULEUR ET RENVOI</t>
  </si>
  <si>
    <t>CEINTURE AV - RETOUR SANGLE</t>
  </si>
  <si>
    <t>MOTEUR ESSUIE VITRE AR</t>
  </si>
  <si>
    <t>MOTEUR OU MECANISME ESSUIE-VITRE ENS</t>
  </si>
  <si>
    <t>TUYAU LAVE GLACE AV</t>
  </si>
  <si>
    <t xml:space="preserve">GARNITURE DE TABLETTE AR FIXE (TRI CORPS) </t>
  </si>
  <si>
    <t>BOITIER DIVERSITY</t>
  </si>
  <si>
    <t>RESERVOIR LAVE VITRE</t>
  </si>
  <si>
    <t>COLLECTEUR AUVENT</t>
  </si>
  <si>
    <t>RESERVOIRS LIQUIDE DIRECTION ET SUSPENSION SUR CAISSE - LDS</t>
  </si>
  <si>
    <t>SUPPORT GMP DROIT SUR MOTEUR ET BRANCARD</t>
  </si>
  <si>
    <t>BRANCHEMENT LUNETTE AR</t>
  </si>
  <si>
    <t>BALAIS ESSUIE VITRE AV</t>
  </si>
  <si>
    <t>AMORTISSEUR AR SUR CAISSE (MISE EN PLACE)</t>
  </si>
  <si>
    <t>BHI - BOITIER HYDRAULIQUE INTELLIGENT</t>
  </si>
  <si>
    <t>ABSORBEUR VAPEUR CARBURANT</t>
  </si>
  <si>
    <t>CANALISATION REFRI SUR COMPRESSEUR ET CONDENSEUR</t>
  </si>
  <si>
    <t>BOITIER ET TRAPPE A CARBURANT</t>
  </si>
  <si>
    <t>GROUPE ELECTROPOMPE DIRECTION ASSISTEE (GEP DA)</t>
  </si>
  <si>
    <t>BOITE DE DEGAZAGE</t>
  </si>
  <si>
    <t>SUPPORT FILTRE A AIR</t>
  </si>
  <si>
    <t>TUBULURE CARBURANT</t>
  </si>
  <si>
    <t>PANNEAU DE PORTE</t>
  </si>
  <si>
    <t>CANALISATION CARBURANT SOUS CAISSE - AUTOMATIQUE</t>
  </si>
  <si>
    <t>RESSORT AR SUSPENSION</t>
  </si>
  <si>
    <t>RESSORT AR SUSPENSION CAISSE SUR TRAIN</t>
  </si>
  <si>
    <t>BFH12 / BFH5 - BOITE FUSIBLE RELAIS HABITACLE</t>
  </si>
  <si>
    <t>PLANCHE DE BORD ET CLIMATISEUR SUR CAISSE</t>
  </si>
  <si>
    <t>CANALISATION CLIMATISATION SUR CAISSE</t>
  </si>
  <si>
    <t>PDB ET CLIMATISEUR SUR CAISSE</t>
  </si>
  <si>
    <t>BOITIER AIDE AU STATIONNEMENT (AAS)</t>
  </si>
  <si>
    <t>BSR - BOITIER DE SERVITUDE REMORQUE</t>
  </si>
  <si>
    <t>BOÎTIER COMMUTATION PROTECTION (BCP)</t>
  </si>
  <si>
    <t>PLAQUE DE FERMETURE CABLE BV</t>
  </si>
  <si>
    <t>ECRANS AERAULIQUES SS CAISSE MONTAGE AUTO</t>
  </si>
  <si>
    <t>COMMANDE DE VITESSE - PLANCHER</t>
  </si>
  <si>
    <t>ELEMENT PORTEUR AV SUR CAISSE</t>
  </si>
  <si>
    <t>PRE MAINTIEN RESERVOIR CARBURANT (*)</t>
  </si>
  <si>
    <t>RESERVOIR CARBURANT</t>
  </si>
  <si>
    <t>CANALISATIONS HYDRAULIQUES SOUS CAISSE</t>
  </si>
  <si>
    <t>CANALISATION FREIN SOUS CAISSE</t>
  </si>
  <si>
    <t>INSONO-SOUS-PLANCHE-DE-BORD_OFFICIELLE.XLS</t>
  </si>
  <si>
    <t>INSONO SOUS PLANCHE DE BORD</t>
  </si>
  <si>
    <t>CABLE SUR LEVIER DE VITESSES HABITACLE</t>
  </si>
  <si>
    <t>EMETTEUR EMBRAYAGE HYDRAULIQUE</t>
  </si>
  <si>
    <t>CANALISATION CARBURANT SOUS CAISSE</t>
  </si>
  <si>
    <t xml:space="preserve">BOITIER MFAV - MATRICE FUSIBLE AVANT </t>
  </si>
  <si>
    <t>TRAIN AR TRAVERSE DEFORMABLE</t>
  </si>
  <si>
    <t>BARRE ANTI RAPPROCHEMENT - NON INTEGREE AU TRAIN</t>
  </si>
  <si>
    <t>RACCORD PRISE DEPRESSION FREIN (RPDF) BRANCHEMENT SUR AMCT</t>
  </si>
  <si>
    <t>AMORTISSEUR AR</t>
  </si>
  <si>
    <t>AMORTISSEUR AR FIXATION INF</t>
  </si>
  <si>
    <t>APPRO BHI</t>
  </si>
  <si>
    <t>PDC</t>
  </si>
  <si>
    <t>AEE</t>
  </si>
  <si>
    <t>EEH</t>
  </si>
  <si>
    <t>ATR</t>
  </si>
  <si>
    <t>LAS</t>
  </si>
  <si>
    <t>EEM</t>
  </si>
  <si>
    <t>HYD</t>
  </si>
  <si>
    <t>AMO</t>
  </si>
  <si>
    <t>STR</t>
  </si>
  <si>
    <t>FRN</t>
  </si>
  <si>
    <t>ARM</t>
  </si>
  <si>
    <t>DIR</t>
  </si>
  <si>
    <t>ABA</t>
  </si>
  <si>
    <t>BVM</t>
  </si>
  <si>
    <t>CMO</t>
  </si>
  <si>
    <t>SPR</t>
  </si>
  <si>
    <t>EBA</t>
  </si>
  <si>
    <t>Liaison au sol</t>
  </si>
  <si>
    <t>01266_22_00515</t>
  </si>
  <si>
    <t>BOITIER ELECTRONIQUE RADAR FRONTAL ENS</t>
  </si>
  <si>
    <t>01266_22_00524</t>
  </si>
  <si>
    <t>RAIDISSEUR PAVILLON</t>
  </si>
  <si>
    <t>Reference</t>
  </si>
  <si>
    <t>APOQUA FILE INDICATION</t>
  </si>
  <si>
    <t>Status APOQUA file</t>
  </si>
  <si>
    <t>01266_23_00140</t>
  </si>
  <si>
    <t>VIDE POCHE PLANCHE DE BORD</t>
  </si>
  <si>
    <t>01266_22_00512</t>
  </si>
  <si>
    <t>SUR TAPIS</t>
  </si>
  <si>
    <t>01266_18_00948</t>
  </si>
  <si>
    <t>01266_22_00349</t>
  </si>
  <si>
    <t>01266_22_00352</t>
  </si>
  <si>
    <t>SUPPORT POMPE VIDE FREINAGE</t>
  </si>
  <si>
    <t>SUPPORT COMPRESSEUR REFRIGERATION(BEV)</t>
  </si>
  <si>
    <t>SUPPORT TUYAU EAU ENTREE POMPE ELECTRIQUE (BEV)</t>
  </si>
  <si>
    <t>BEQUILLE DE CAPOT</t>
  </si>
  <si>
    <t>FRT BUMPER - LOWER FRAME</t>
  </si>
  <si>
    <t>R1A</t>
  </si>
  <si>
    <t>Approved</t>
  </si>
  <si>
    <t/>
  </si>
  <si>
    <t>Applicable</t>
  </si>
  <si>
    <t>DASHBOARD TRIM EMBELLISHMENTS</t>
  </si>
  <si>
    <t>S1A</t>
  </si>
  <si>
    <t>REGISTRATION PLATE FINISHER</t>
  </si>
  <si>
    <t>R3F</t>
  </si>
  <si>
    <t>03/04/2023</t>
  </si>
  <si>
    <t>FRT BUMPER - LOWER FRAME (RADIATOR SCREEN SUPPORT)</t>
  </si>
  <si>
    <t>DASHBOARD ON BODY</t>
  </si>
  <si>
    <t>RR BUMPER - SKIN</t>
  </si>
  <si>
    <t>R1B</t>
  </si>
  <si>
    <t xml:space="preserve">MFRH - CABIN RELAY FUSIBLE UNIT </t>
  </si>
  <si>
    <t>Z5U</t>
  </si>
  <si>
    <t>ELECTRIC ANTI-THEFT SAFETY-AVE SECU-AVE</t>
  </si>
  <si>
    <t>Z8G</t>
  </si>
  <si>
    <t>RR PARCEL SHELF SUPPORT TRIM</t>
  </si>
  <si>
    <t>X3D</t>
  </si>
  <si>
    <t>SEATS RANK 1</t>
  </si>
  <si>
    <t>Y1A</t>
  </si>
  <si>
    <t>INDIVIDUAL_SEAT_RANK_2</t>
  </si>
  <si>
    <t>Y2A</t>
  </si>
  <si>
    <t>SEAT SUPPORT RAIL CENTAL (SEATS ROW 3)</t>
  </si>
  <si>
    <t>Y3A</t>
  </si>
  <si>
    <t>BPGA - SUPPLY MANAGEMENT PROTECTION UNIT</t>
  </si>
  <si>
    <t>HOOD STABILIZER</t>
  </si>
  <si>
    <t>N2A</t>
  </si>
  <si>
    <t>MULTIFONCTION ASSISTANCE CLOSING MODULE</t>
  </si>
  <si>
    <t>N2E</t>
  </si>
  <si>
    <t>08/03/2023</t>
  </si>
  <si>
    <t>RIGHT INTERMEDIATE ENGINE SUPPORT (SMID)</t>
  </si>
  <si>
    <t>D11</t>
  </si>
  <si>
    <t>DEFORMABLE REAR AXLE ATTACK STOP</t>
  </si>
  <si>
    <t>E25</t>
  </si>
  <si>
    <t>UNDER BODY AIR DEFLECTOR MOUNTINGS (IF AUTOMATIC)</t>
  </si>
  <si>
    <t>Z1D</t>
  </si>
  <si>
    <t>FRT HEIGHT SENSOR</t>
  </si>
  <si>
    <t>G76</t>
  </si>
  <si>
    <t>QUARTER PANEL TRIM*</t>
  </si>
  <si>
    <t>R3B</t>
  </si>
  <si>
    <t>DASHBOARD ON AC UNIT</t>
  </si>
  <si>
    <t>CATALYTIC NITROGEN OXIDE REDUCTION</t>
  </si>
  <si>
    <t>B25</t>
  </si>
  <si>
    <t>HOOK SAFETY HOOD</t>
  </si>
  <si>
    <t>13/04/2023</t>
  </si>
  <si>
    <t>PILOT AIR INPUT MODULE</t>
  </si>
  <si>
    <t>K3H</t>
  </si>
  <si>
    <t>SOUND SCREEN</t>
  </si>
  <si>
    <t>K2E</t>
  </si>
  <si>
    <t>BSG - GENERIC RELAY UNIT</t>
  </si>
  <si>
    <t>FRONT MUDGUARD</t>
  </si>
  <si>
    <t>K3J</t>
  </si>
  <si>
    <t>15/03/2023</t>
  </si>
  <si>
    <t>REAR MUDGUARD</t>
  </si>
  <si>
    <t>K4H</t>
  </si>
  <si>
    <t>12/04/2023</t>
  </si>
  <si>
    <t>FRONT SHOCK ABSORBER ELEMENTS</t>
  </si>
  <si>
    <t>E14</t>
  </si>
  <si>
    <t>FRONT PILLAR LOWER TRIM</t>
  </si>
  <si>
    <t>X3A</t>
  </si>
  <si>
    <t>FRONT AND REAR DOOR HINGES - BIW</t>
  </si>
  <si>
    <t>K7F/K7G</t>
  </si>
  <si>
    <t>COWL VENT GRILLE</t>
  </si>
  <si>
    <t>R3H</t>
  </si>
  <si>
    <t>REAR DOOR AIRBAG</t>
  </si>
  <si>
    <t>U3B</t>
  </si>
  <si>
    <t>COMPLEMENTARY MAIN HARNESS UNDER BODY</t>
  </si>
  <si>
    <t>Z9L</t>
  </si>
  <si>
    <t>LOWER FRONT IMPACT ABSORPTION SYSTEM</t>
  </si>
  <si>
    <t>COWL WATER OUTLET</t>
  </si>
  <si>
    <t>V1C</t>
  </si>
  <si>
    <t>COWL VENT SIDEFINISHINGS</t>
  </si>
  <si>
    <t>V1A</t>
  </si>
  <si>
    <t>SIDE TIGHTNESS FOAM</t>
  </si>
  <si>
    <t>W3B</t>
  </si>
  <si>
    <t>FRT RR DOOR SEAL</t>
  </si>
  <si>
    <t>W2A</t>
  </si>
  <si>
    <t>RADIATOR ON LOWER + UPPER CROSSMEMBERS</t>
  </si>
  <si>
    <t>B12</t>
  </si>
  <si>
    <t>FRONT END LOWER CROSSMEMEBER</t>
  </si>
  <si>
    <t>K3D</t>
  </si>
  <si>
    <t>EVAPORATOR CONDENSOR</t>
  </si>
  <si>
    <t>V5B</t>
  </si>
  <si>
    <t>B11</t>
  </si>
  <si>
    <t>AIR AIR EXCHANGER SUPPORT</t>
  </si>
  <si>
    <t>A26</t>
  </si>
  <si>
    <t>MODULATE DECLUTCHING</t>
  </si>
  <si>
    <t>G11</t>
  </si>
  <si>
    <t>FLANGING BVCC ON ENGINE</t>
  </si>
  <si>
    <t>F62</t>
  </si>
  <si>
    <t>RR AXLE - MULTI-SPOKE</t>
  </si>
  <si>
    <t>E20</t>
  </si>
  <si>
    <t>FLANGING HANDBRAKE CABLE ON RR TRAIN</t>
  </si>
  <si>
    <t>F71</t>
  </si>
  <si>
    <t>MULTIFUNCTION FRONTAGE MUX</t>
  </si>
  <si>
    <t>Z5T</t>
  </si>
  <si>
    <t>ADAPTOR RADIO AERIAL FM1 - FM2 - DAB</t>
  </si>
  <si>
    <t>Z7B</t>
  </si>
  <si>
    <t>FLEXIBLE CLAMPING REAR BRAKE ON REAR AXLE</t>
  </si>
  <si>
    <t>F63</t>
  </si>
  <si>
    <t>FRONT WHEEL SPEED SENSOR</t>
  </si>
  <si>
    <t>F68</t>
  </si>
  <si>
    <t>AIR BAG PASSENGER</t>
  </si>
  <si>
    <t>U1B</t>
  </si>
  <si>
    <t>REAR BODY HEIGHT SENSOR</t>
  </si>
  <si>
    <t>HIGH PIPE CLUTCH AND LOW PRESSURE</t>
  </si>
  <si>
    <t>G32</t>
  </si>
  <si>
    <t>DOOR STOP ON BODY</t>
  </si>
  <si>
    <t>K7F</t>
  </si>
  <si>
    <t>BELT PROTECTION</t>
  </si>
  <si>
    <t>A18</t>
  </si>
  <si>
    <t>TRIMMING DOOR FRAME - INTERIOR</t>
  </si>
  <si>
    <t>X4C</t>
  </si>
  <si>
    <t>PRESSURE SENSOR PARTICLE FILTER</t>
  </si>
  <si>
    <t>A37</t>
  </si>
  <si>
    <t>SENSOR DEPOLLUTION ON BRACKET</t>
  </si>
  <si>
    <t>B26</t>
  </si>
  <si>
    <t>SENSORS DEPOLLUTION INTEGRATED ON BODY</t>
  </si>
  <si>
    <t>APOQUA EXHAUST LINE PROBES</t>
  </si>
  <si>
    <t>B26 &amp; A27</t>
  </si>
  <si>
    <t>STEERING COLUMN COMPLETE</t>
  </si>
  <si>
    <t>E45</t>
  </si>
  <si>
    <t>07/04/2023</t>
  </si>
  <si>
    <t>REAR VIEW MIRROR</t>
  </si>
  <si>
    <t>R5A</t>
  </si>
  <si>
    <t>TELEMATICS RADIO RECEIVER</t>
  </si>
  <si>
    <t>Z7A</t>
  </si>
  <si>
    <t>FRONT FACE ADJUSTMENT PLATE - BIW</t>
  </si>
  <si>
    <t>REAR TAIL LIGHTS</t>
  </si>
  <si>
    <t>Z2F</t>
  </si>
  <si>
    <t>PULSEUR ON CROSSMEMBER</t>
  </si>
  <si>
    <t>V2A</t>
  </si>
  <si>
    <t>HIGHT VISION</t>
  </si>
  <si>
    <t>Z4F</t>
  </si>
  <si>
    <t>CLAMP BATTERY 12V</t>
  </si>
  <si>
    <t>Z1B</t>
  </si>
  <si>
    <t xml:space="preserve">FRONT CENTRAL AIR DEFLECTOR </t>
  </si>
  <si>
    <t>CONVERTER ON FLEXPLATE - AUTOMATIC GEARBOX</t>
  </si>
  <si>
    <t>C12</t>
  </si>
  <si>
    <t>ARTIV/ACC ADAPTATIVE CRUISE CONTROL</t>
  </si>
  <si>
    <t>COI TRIM</t>
  </si>
  <si>
    <t>X4A</t>
  </si>
  <si>
    <t>GRAB HANDLE SUPPORT</t>
  </si>
  <si>
    <t>HINGE</t>
  </si>
  <si>
    <t>BFT FUSE UNIT TERMINAL</t>
  </si>
  <si>
    <t>LINK BETWEEN BFT AND BFRM</t>
  </si>
  <si>
    <t>SUPPORT CABIN RELAY FUSIBLE UNIT (MFRH)</t>
  </si>
  <si>
    <t>FRONT BUMPER LOWER MOUNTING</t>
  </si>
  <si>
    <t>FOOTREST</t>
  </si>
  <si>
    <t>T2D</t>
  </si>
  <si>
    <t>DOOR PRESSURE SENSOR</t>
  </si>
  <si>
    <t>U4A</t>
  </si>
  <si>
    <t>WINDSHIELD WASHER FEED PIPE</t>
  </si>
  <si>
    <t>Z6B</t>
  </si>
  <si>
    <t>RADIO FREQUENCY SUPERVISION BOX RFSB</t>
  </si>
  <si>
    <t>Z7G</t>
  </si>
  <si>
    <t>EXTERNAL DOOR OPENING CONTROL FLUSH ON SUPPORT</t>
  </si>
  <si>
    <t>N1C</t>
  </si>
  <si>
    <t>FLEXIBLE FR BRAKE SUPPORT ON FR WHEEL HOUSING</t>
  </si>
  <si>
    <t>AIRBAG IMPACT SENSOR</t>
  </si>
  <si>
    <t>LEFT INTERMEDIATE ENGINE MOUNT (LIEM) ON GEAR BOX</t>
  </si>
  <si>
    <t>MAIN WHEELS STEEL</t>
  </si>
  <si>
    <t>E31</t>
  </si>
  <si>
    <t>VACCUM PUMP BRACKET</t>
  </si>
  <si>
    <t>ARMREST FIXATION ON CONSOLE</t>
  </si>
  <si>
    <t>S3A</t>
  </si>
  <si>
    <t xml:space="preserve"> FIXATION CONSOLE ON BRACKET</t>
  </si>
  <si>
    <t xml:space="preserve"> HEATER COVER FASTENING ON BODY (TUNNEL)</t>
  </si>
  <si>
    <t>AIR INLET CONNECTIONS ON TURBO</t>
  </si>
  <si>
    <t>CENTRAL PIVOTING BACK SEAT ( SEATS ROW 2)</t>
  </si>
  <si>
    <t>PANORAMIC VISUAL SYSTEM</t>
  </si>
  <si>
    <t>MONOSTABLE SPEED CONTROL</t>
  </si>
  <si>
    <t>G21</t>
  </si>
  <si>
    <t>UNDERBODY DEFLECTOR</t>
  </si>
  <si>
    <t>TOGGLE SPEED CONTROL</t>
  </si>
  <si>
    <t>MULTIPURPOSE VIDEO CAMERA</t>
  </si>
  <si>
    <t>WATER COOLER FOR HV BATTERY</t>
  </si>
  <si>
    <t>F41</t>
  </si>
  <si>
    <t>BRAKE PEDAL POSITION SENSOR</t>
  </si>
  <si>
    <t xml:space="preserve">DEFORMABLE REAR AXLE ATTACK STOP </t>
  </si>
  <si>
    <t>ELECTRONIC STOP CONTACTOR</t>
  </si>
  <si>
    <t>PEDESTRIAN HORN</t>
  </si>
  <si>
    <t>Z3A</t>
  </si>
  <si>
    <t>DEFLECTOR AIR ENTRY</t>
  </si>
  <si>
    <t xml:space="preserve">PROTECTOR ON A REAR AXLE DEFORMABLE CROSSMEMBER </t>
  </si>
  <si>
    <t>E21</t>
  </si>
  <si>
    <t>TRACTION BATTERY AIR DEFLECTOR</t>
  </si>
  <si>
    <t>SUPPORT HOOK SAFETY BONNET</t>
  </si>
  <si>
    <t>AIR DUCT FRONT PLACE</t>
  </si>
  <si>
    <t>V3A</t>
  </si>
  <si>
    <t>TRACTION BATTERY HOUSING COVER, ECMP ET EK0 CASE</t>
  </si>
  <si>
    <t>Z1C</t>
  </si>
  <si>
    <t xml:space="preserve">MOTOR FAN GROUP </t>
  </si>
  <si>
    <t>COOLING RADIATOR</t>
  </si>
  <si>
    <t>AIR DUCT REAR PLACE</t>
  </si>
  <si>
    <t>SOUND DEADENING TUNNEL</t>
  </si>
  <si>
    <t>X2A</t>
  </si>
  <si>
    <t>CLAMPING OF THE CABLE CONTROL OPENING BONNET</t>
  </si>
  <si>
    <t>REARVIEW MIRROR</t>
  </si>
  <si>
    <t>T2E</t>
  </si>
  <si>
    <t>18/04/2023</t>
  </si>
  <si>
    <t>FLANGE CONSOLE R/L</t>
  </si>
  <si>
    <t>INTERIOR REARVIEW MIRROR FOOT COVER</t>
  </si>
  <si>
    <t>TAILGATE EXTERIOR OPENER CONTROL</t>
  </si>
  <si>
    <t>N2B</t>
  </si>
  <si>
    <t>SENSOR RAIN DETECTION</t>
  </si>
  <si>
    <t>Z6E</t>
  </si>
  <si>
    <t>KNOB GEAR CONTROL</t>
  </si>
  <si>
    <t>AIR EXTRACTOR</t>
  </si>
  <si>
    <t>V4B</t>
  </si>
  <si>
    <t xml:space="preserve">REAR TRIM PANEL </t>
  </si>
  <si>
    <t>X5D</t>
  </si>
  <si>
    <t>CONTACTOR PLATE GLASS LIFT</t>
  </si>
  <si>
    <t>N5E</t>
  </si>
  <si>
    <t>DODGER COLLECTOR SOUNDPROOF</t>
  </si>
  <si>
    <t>X1A</t>
  </si>
  <si>
    <t>AIRBAG STEERING WHEEL PAD</t>
  </si>
  <si>
    <t xml:space="preserve">ROOF PANEL LATERAL SIDE AIRBAG REAR BAFFLE </t>
  </si>
  <si>
    <t>U1C</t>
  </si>
  <si>
    <t>AIRBAG DRIVER AND PASSENGER KNEES</t>
  </si>
  <si>
    <t xml:space="preserve">ELECTRIC WATER PUMP SUPPORT </t>
  </si>
  <si>
    <t>HIGH VOLTAGE BATTERY BUS BAR</t>
  </si>
  <si>
    <t>Z9A</t>
  </si>
  <si>
    <t>CABLE BOX HV OF LOAD HV TAKEN NORMAL LOAD-ECMP</t>
  </si>
  <si>
    <t>HOME CHARGING HARNESS BRACKET</t>
  </si>
  <si>
    <t>MICROPHONE RADIO TELEPHONE</t>
  </si>
  <si>
    <t>DRIVE BATTERY ON-BOARD LOADER BRACKET</t>
  </si>
  <si>
    <t>Z1A</t>
  </si>
  <si>
    <t>ELECTRIC WATER PUMP BRACKET 1 (ECMP)</t>
  </si>
  <si>
    <t>DRIVE BATTERY ON-BOARD LOADER</t>
  </si>
  <si>
    <t>ROOF PANEL CONSOLE FINISHER</t>
  </si>
  <si>
    <t>T2C</t>
  </si>
  <si>
    <t>AIR ENTRY GASKET</t>
  </si>
  <si>
    <t>V1B</t>
  </si>
  <si>
    <t>AIR COND SIDE COVER L-R</t>
  </si>
  <si>
    <t>S2D</t>
  </si>
  <si>
    <t>REINFORCEMENT ROOF PANEL</t>
  </si>
  <si>
    <t>K6B</t>
  </si>
  <si>
    <t>SUPPORT CONTROL OPENING BONNET (EMP2)</t>
  </si>
  <si>
    <t>BATTERY MONITORING MODULE</t>
  </si>
  <si>
    <t>UPPER FLEXIBLE ELEMENT POWERTRAIN SUSPENSION_EMP2 (ANTITORQUE CRANK ARM)</t>
  </si>
  <si>
    <t>TUNNEL RADIUS ROD BOND</t>
  </si>
  <si>
    <t>K3A</t>
  </si>
  <si>
    <t>COMMUTED LOAD RESISTANCE</t>
  </si>
  <si>
    <t>SUPPORT NUMBER PLATE</t>
  </si>
  <si>
    <t>R5C</t>
  </si>
  <si>
    <t>ELECTRIC PT IMPACTOR</t>
  </si>
  <si>
    <t>11/04/2023</t>
  </si>
  <si>
    <t>BALL AND SUPPORT BALL FRT HEIGHT SENSOR LEVER</t>
  </si>
  <si>
    <t>FRT HEIGHT SENSOR LEVER</t>
  </si>
  <si>
    <t>SEAT SUPPORT RAIL LATERAL (SEATS ROW 3)</t>
  </si>
  <si>
    <t>APOQUA_HORN ALARME PREP</t>
  </si>
  <si>
    <t>Z8C</t>
  </si>
  <si>
    <t>ESP SUPPORT</t>
  </si>
  <si>
    <t>F67</t>
  </si>
  <si>
    <t>CABLES TRAY EVMP</t>
  </si>
  <si>
    <t>OPENER WINDOW HINGER</t>
  </si>
  <si>
    <t>N5D</t>
  </si>
  <si>
    <t>PANEL GLAZING CONTROL</t>
  </si>
  <si>
    <t>RR SUPPORT NUMBER PLATE JAPAN</t>
  </si>
  <si>
    <t>FRT CRADLE FRT FIX BRG SUPPORT</t>
  </si>
  <si>
    <t>E11</t>
  </si>
  <si>
    <t>ELECTRONIC CIRCUIT BRAKER</t>
  </si>
  <si>
    <t xml:space="preserve">WIPER BEARING </t>
  </si>
  <si>
    <t>WIPER LINK ROD</t>
  </si>
  <si>
    <t>FRT BRAKE FLEXIBLE SUPPORT</t>
  </si>
  <si>
    <t>ROOF PANEL CONSOLE</t>
  </si>
  <si>
    <t>FACIA PNL SIDE FIX COVER</t>
  </si>
  <si>
    <t>FOOTREST TRIM</t>
  </si>
  <si>
    <t>TRAILER HITCH</t>
  </si>
  <si>
    <t>R5G</t>
  </si>
  <si>
    <t>ELECTRIC PT RIGHT IMPACTOR</t>
  </si>
  <si>
    <t>HOOD HINGE PYROTECHNIC ACTUATOR</t>
  </si>
  <si>
    <t>ARTICULATED SEAT PART (SEATS ROW 2)</t>
  </si>
  <si>
    <t>FIXATION OF MODULES IN THE BATTERY PACK</t>
  </si>
  <si>
    <t>PROTECTOR CHARGER ON BOARD BATTERY TRACTION</t>
  </si>
  <si>
    <t>GROUND WIRE</t>
  </si>
  <si>
    <t>HAND FREE ACCESS AUDIBLE DEVICE</t>
  </si>
  <si>
    <t>ASS RH PT MOUNT RT and LT</t>
  </si>
  <si>
    <t>D31</t>
  </si>
  <si>
    <t>Current Update</t>
  </si>
  <si>
    <t>LWR RH EPWT FRT ANTI TORQUE BRACKET on ePWT</t>
  </si>
  <si>
    <t>SUBWOOFER BOX</t>
  </si>
  <si>
    <t>Z7D</t>
  </si>
  <si>
    <t>FLAP ACCESS TOWING EYE</t>
  </si>
  <si>
    <t>FRONT BUMPER UPR AND BOTTOM GRID</t>
  </si>
  <si>
    <t>WATER OUTLET COLLECTOR on ePWT</t>
  </si>
  <si>
    <t>Z6F</t>
  </si>
  <si>
    <t>FUEL PIPING</t>
  </si>
  <si>
    <t>B32</t>
  </si>
  <si>
    <t>HIGH PRESSURE 2-WAY SOLENOID VALVE</t>
  </si>
  <si>
    <t>B14</t>
  </si>
  <si>
    <t>CONDENSER WATER CIRCUIT AEROTHERM SET on E_PWT</t>
  </si>
  <si>
    <t>04/04/2023</t>
  </si>
  <si>
    <t>HIGH VOLTAGE FUSE CASE on ePWT</t>
  </si>
  <si>
    <t>WIRE MASS HEATER WATER</t>
  </si>
  <si>
    <t>Z9K</t>
  </si>
  <si>
    <t>CHARGING PLUG SUPPORT on BODY</t>
  </si>
  <si>
    <t>K4F</t>
  </si>
  <si>
    <t>WATER OUTLET TIP</t>
  </si>
  <si>
    <t>A16</t>
  </si>
  <si>
    <t>GASKET ANTI-PINCHING APERTURE TAILGATE</t>
  </si>
  <si>
    <t>W3A</t>
  </si>
  <si>
    <t>SUN VISOR HOOK</t>
  </si>
  <si>
    <t>T2A</t>
  </si>
  <si>
    <t>FRONT LUGGAGE STRAP</t>
  </si>
  <si>
    <t>X5E</t>
  </si>
  <si>
    <t>NON-RETURN VALVE on E_PWT</t>
  </si>
  <si>
    <t>V5C</t>
  </si>
  <si>
    <t>LOW VOLTAGE WATER RESISTANCE REHEATING</t>
  </si>
  <si>
    <t>V2K</t>
  </si>
  <si>
    <t>05/04/2023</t>
  </si>
  <si>
    <t xml:space="preserve">WATER INPUT HOSE OF BATTERY TRACTION CHARGER </t>
  </si>
  <si>
    <t xml:space="preserve">CROSS MEMBER ELECTROMOTOR GROUP BRACKET </t>
  </si>
  <si>
    <t>COOLED SOLENOID VALVE TRACTION BATTERY</t>
  </si>
  <si>
    <t>HARNESS PROTECTOR ON E-PWT</t>
  </si>
  <si>
    <t>MAIN WHEELS</t>
  </si>
  <si>
    <t>COMPRESSION REFRIGERATION PIPE</t>
  </si>
  <si>
    <t>V5D</t>
  </si>
  <si>
    <t>SEAT RANK 2</t>
  </si>
  <si>
    <t>FRT BUMPER - UPPER DEFLECTOR</t>
  </si>
  <si>
    <t>FRT BUMPER - SKIN</t>
  </si>
  <si>
    <t>FRT BUMPER - PRESSURE PIECE</t>
  </si>
  <si>
    <t>REAR BUMPER - SIDE SUPPORT (L/R)</t>
  </si>
  <si>
    <t>L&amp;R ABSORBER SIDE REINFORCEMENT</t>
  </si>
  <si>
    <t>REAR SEATBELT – SEATBELT ANCHOAGE</t>
  </si>
  <si>
    <t>X3B</t>
  </si>
  <si>
    <t>CENTRAL CHANNEL SPEAKER ON DASHBOARD</t>
  </si>
  <si>
    <t>RR BUMPER - R &amp; L LIGHT SUPPORTS</t>
  </si>
  <si>
    <t>REAR SAFETY BELT BUCKLE END</t>
  </si>
  <si>
    <t>U2A</t>
  </si>
  <si>
    <t>HORN ALARM UNIT ON BODY</t>
  </si>
  <si>
    <t>4 MAXI FUSE UNIT (B4MF)</t>
  </si>
  <si>
    <t>TRUNK CARPET</t>
  </si>
  <si>
    <t>X5A</t>
  </si>
  <si>
    <t>MOUNTING EXHAUST LINE COLD PART ON WARM PART</t>
  </si>
  <si>
    <t>B21</t>
  </si>
  <si>
    <t>TRUNK THRESHOLD TRIM</t>
  </si>
  <si>
    <t>HARNESS CONNECTION ON BSM OR BFRM</t>
  </si>
  <si>
    <t>Z9J</t>
  </si>
  <si>
    <t>EXHAUST HEAT SHIELDS ON BODY</t>
  </si>
  <si>
    <t>AIR FILTER</t>
  </si>
  <si>
    <t>FRT BUMPER - ABSORBER</t>
  </si>
  <si>
    <t>GEAR SHIFT TRIM</t>
  </si>
  <si>
    <t>S3B</t>
  </si>
  <si>
    <t>RADIO RECEIVER AMPLIFIER</t>
  </si>
  <si>
    <t>STEERING COLUMN LOW SIDE</t>
  </si>
  <si>
    <t>TUBES OF BRAKE MCT (BETWEEN AMRT AND ABS UNIT / ESP)</t>
  </si>
  <si>
    <t>PARKING BRAKE LEVER CABLE</t>
  </si>
  <si>
    <t>HEATER RADIATOR PIPE (INPUT OUTPUT) ON FIREWALL</t>
  </si>
  <si>
    <t>V2A/V5C</t>
  </si>
  <si>
    <t>GEARBOX ELECTRICAL CONTROL</t>
  </si>
  <si>
    <t>A36</t>
  </si>
  <si>
    <t>FRONT END ON BODY</t>
  </si>
  <si>
    <t>REAR SELF-LEVELING SYSTEM ECU</t>
  </si>
  <si>
    <t>HEADLIGHT CLEANING KIT</t>
  </si>
  <si>
    <t>Z6A</t>
  </si>
  <si>
    <t>ABS HARNESS CONNECTION TO UNIT</t>
  </si>
  <si>
    <t>INERTIAL MEASUREMENT UNIT SENSOR</t>
  </si>
  <si>
    <t>F6B</t>
  </si>
  <si>
    <t>TIRE-PRESSURE MONITORING SYSTEM (TPMS)</t>
  </si>
  <si>
    <t>E34</t>
  </si>
  <si>
    <t>TRIMMING OF TAILGATE AND TRUNK</t>
  </si>
  <si>
    <t>X5B</t>
  </si>
  <si>
    <t>STTA - UCAP &amp; DMT - STOP AND START CALCULATOR</t>
  </si>
  <si>
    <t>WARING HOUSING MULTIFUNCTIONAL AND VEHICLE SUPERVISION MODULE</t>
  </si>
  <si>
    <t>POWER HARNESS UNDER BODY</t>
  </si>
  <si>
    <t>FLANGING CABLES BRAKE HAND ON BODY</t>
  </si>
  <si>
    <t>HIGH VOLTAGE CONNECTOR HEADER</t>
  </si>
  <si>
    <t>HOOD LATCH</t>
  </si>
  <si>
    <t>ECDU - BFRM - ENGINE CURRENT DISTRIBUTION UNIT / FUSIBLE UNIT RELAY ENGINE</t>
  </si>
  <si>
    <t>CD LOADER - TRUNK</t>
  </si>
  <si>
    <t xml:space="preserve">DASHBOARD AIRVENTS </t>
  </si>
  <si>
    <t>INSTRUMENT VISOR</t>
  </si>
  <si>
    <t>Z4A</t>
  </si>
  <si>
    <t>SHEATH COLUMN (upper and lower)</t>
  </si>
  <si>
    <t>S1D</t>
  </si>
  <si>
    <t>SHEET METAL PROTECTION FOR CRD (BAD DRIVING CONDITIONS)</t>
  </si>
  <si>
    <t>RH / LH LONGL LUGGAGE RACK ROD</t>
  </si>
  <si>
    <t>R5E</t>
  </si>
  <si>
    <t>TWEETER and GRID TWEETER</t>
  </si>
  <si>
    <t>CD LOADER - FASCIA</t>
  </si>
  <si>
    <t>STEERING ANTITHEFT</t>
  </si>
  <si>
    <t>N4A</t>
  </si>
  <si>
    <t>AIR CONDITIONING GROUP</t>
  </si>
  <si>
    <t>BSC BSR BTC - TRUNK RELAY UNIT</t>
  </si>
  <si>
    <t>Z9M</t>
  </si>
  <si>
    <t>HEADLAMP</t>
  </si>
  <si>
    <t>Z2A</t>
  </si>
  <si>
    <t>BATERY SUPPORT</t>
  </si>
  <si>
    <t>CONSOLE BRACKET ON TUNNEL</t>
  </si>
  <si>
    <t>REAR SHOCK ABSORPTION SYSTEM</t>
  </si>
  <si>
    <t>FRT BIAS BUMPER IMPACT ABSORTION SYSTEM FRT SUPERIOR</t>
  </si>
  <si>
    <t>C21</t>
  </si>
  <si>
    <t>KNEE AIRBAG</t>
  </si>
  <si>
    <t>AIR DUCT ON CASSETTE (RAS)</t>
  </si>
  <si>
    <t>A27</t>
  </si>
  <si>
    <t>DASHBOARD MOUNTED GEARSHIFT</t>
  </si>
  <si>
    <t>BOX ELECTRIC CTRL ENG COOL FAN</t>
  </si>
  <si>
    <t>SPOILER</t>
  </si>
  <si>
    <t>R5M</t>
  </si>
  <si>
    <t>ASHTRAY</t>
  </si>
  <si>
    <t>CENTER FACADE</t>
  </si>
  <si>
    <t>?</t>
  </si>
  <si>
    <t>BATTERY CONNECTION</t>
  </si>
  <si>
    <t>ZAA</t>
  </si>
  <si>
    <t>COMPLETE STEERING COLUMN</t>
  </si>
  <si>
    <t>83F</t>
  </si>
  <si>
    <t>ALTERNATOR ALTERNO-STARTER</t>
  </si>
  <si>
    <t>A31</t>
  </si>
  <si>
    <t>MULTIPURPOSE BEARING DRIVE LINE (LEM)</t>
  </si>
  <si>
    <t>REFRIGERATION COMPRESSOR</t>
  </si>
  <si>
    <t>V5A</t>
  </si>
  <si>
    <t>ADVANCED FRONTLIGHTING SYSTEM UNIT (AFS/BEMP) (ROTATING BEACON)</t>
  </si>
  <si>
    <t>PRE-POST HEATING ECU ON BODY</t>
  </si>
  <si>
    <t>E16</t>
  </si>
  <si>
    <t>STEERING WHEEL</t>
  </si>
  <si>
    <t>E46</t>
  </si>
  <si>
    <t>BPCB/BFDB - BATTERY CABLE PROTECTION UNIT - BATTERY FUSE BOX</t>
  </si>
  <si>
    <t>DOOR STRIKER</t>
  </si>
  <si>
    <t>N1E</t>
  </si>
  <si>
    <t>LOWER ENGINE MOUNT (LEM)</t>
  </si>
  <si>
    <t>REMOVAL/REFITTING OF HINGED SIDE DOOR</t>
  </si>
  <si>
    <t>WINDSHIELD</t>
  </si>
  <si>
    <t>P1A</t>
  </si>
  <si>
    <t>WINDOW</t>
  </si>
  <si>
    <t>P1B</t>
  </si>
  <si>
    <t>INSOLATION SENSOR</t>
  </si>
  <si>
    <t>GEARBOX ON ENGINE</t>
  </si>
  <si>
    <t>INSTRUMENT CLUSTER</t>
  </si>
  <si>
    <t xml:space="preserve">DOOR THRESHOLD TRIM </t>
  </si>
  <si>
    <t>R3E</t>
  </si>
  <si>
    <t>WINDSHIELD SIDE TRIM</t>
  </si>
  <si>
    <t>R2A</t>
  </si>
  <si>
    <t>DRIVING SCHOOL MODULE</t>
  </si>
  <si>
    <t>Z2U</t>
  </si>
  <si>
    <t>NAVIGATION ASSISTANCE CONTROL DESIGNATOR</t>
  </si>
  <si>
    <t>Z7H</t>
  </si>
  <si>
    <t>UNDER BODY AIR DEFLECTOR</t>
  </si>
  <si>
    <t>MUD DEFLECTOR</t>
  </si>
  <si>
    <t>R3N</t>
  </si>
  <si>
    <t>CRADDLE</t>
  </si>
  <si>
    <t>CONNECTING BVCC ON ENGINE</t>
  </si>
  <si>
    <t>MULTIFUNCTION SCREEN SUPPORT</t>
  </si>
  <si>
    <t>MULTIFUNCTION SCREEN TRIM</t>
  </si>
  <si>
    <t>COM 200X VCCF BVMP - MULTIFONCTION SWITH UNIT</t>
  </si>
  <si>
    <t>ENGINE COVER</t>
  </si>
  <si>
    <t>A82</t>
  </si>
  <si>
    <t>C29</t>
  </si>
  <si>
    <t>C15</t>
  </si>
  <si>
    <t xml:space="preserve">ADDITIONAL ENGINE WATER HEATER </t>
  </si>
  <si>
    <t>V2J</t>
  </si>
  <si>
    <t>AIR INLET NECK</t>
  </si>
  <si>
    <t>PWR-STEERING-PIPE-TO-STEERING-FLUID/ELECTRIC-PUMP-BOTTLE</t>
  </si>
  <si>
    <t>E42</t>
  </si>
  <si>
    <t>RR BUMPER - ABSORBER</t>
  </si>
  <si>
    <t>LICENSE PLATE LAMP</t>
  </si>
  <si>
    <t>Z2G</t>
  </si>
  <si>
    <t>STOWAGE ON THE DASHBOARD</t>
  </si>
  <si>
    <t>S1E</t>
  </si>
  <si>
    <t>CONNEXION FUEL PIPING</t>
  </si>
  <si>
    <t>SIDE REPEATERS</t>
  </si>
  <si>
    <t>Z2E</t>
  </si>
  <si>
    <t>A35</t>
  </si>
  <si>
    <t>C23</t>
  </si>
  <si>
    <t>LOWER BODY TRIM</t>
  </si>
  <si>
    <t>STARTER</t>
  </si>
  <si>
    <t>A32</t>
  </si>
  <si>
    <t>HOOD BREAKER ALARM</t>
  </si>
  <si>
    <t>CONNEXION &amp; FLANGING PIPE LOADING ON DEGASSING</t>
  </si>
  <si>
    <t>CONNECTION &amp; FLANGING DEGASSING TUBE ON RADIATOR</t>
  </si>
  <si>
    <t>AEROTHERM INLET/OUTLET WATER PIPE ON APRON</t>
  </si>
  <si>
    <t>THERMAL PWT IMPACTOR</t>
  </si>
  <si>
    <t>SPEED CONTROL CABLE SHEATH STOP (BRACKET)</t>
  </si>
  <si>
    <t>G22</t>
  </si>
  <si>
    <t>DISPLAY VIDEO SCREEN</t>
  </si>
  <si>
    <t>HORN LOW NOTE</t>
  </si>
  <si>
    <t>TAILGATE LIGHTS</t>
  </si>
  <si>
    <t>PILOTED MANUAL GEARBOX</t>
  </si>
  <si>
    <t>ZAK</t>
  </si>
  <si>
    <t>STEERING CONNECTING ROD ON ARTICULATIONS</t>
  </si>
  <si>
    <t>E44</t>
  </si>
  <si>
    <t>BEARING DRIVE LINE (NONMULTIPURPOSE)</t>
  </si>
  <si>
    <t>C71</t>
  </si>
  <si>
    <t>LEFT INTERMEDIATE ENGINE MOUNT (LIEM) ON BODY</t>
  </si>
  <si>
    <t>AIR WATER EXCHANGER CONNECTORS</t>
  </si>
  <si>
    <t>B13</t>
  </si>
  <si>
    <t>PRESSURE PIPES INLET &amp; OUTLET PARTICLE FILTER</t>
  </si>
  <si>
    <t>SPARE WHEEL JACK</t>
  </si>
  <si>
    <t>E32</t>
  </si>
  <si>
    <t>A21</t>
  </si>
  <si>
    <t>CONNECTION BLEEDER SCREW ON CSC</t>
  </si>
  <si>
    <t>A39</t>
  </si>
  <si>
    <t>COMMUTATION (BUTTONS - BAR OF BUTTONS - JOYSTICK, SELECTION KNOB,…)</t>
  </si>
  <si>
    <t>STRIKE_HOOD - BIW</t>
  </si>
  <si>
    <t>K7B</t>
  </si>
  <si>
    <t>POWER TRAIN ELASTIC SUSPENSION ELEMENT ON SUB FRAME</t>
  </si>
  <si>
    <t>POWER TRAIN ELASTIC SUSPENSION ELEMENT ON ENGINE</t>
  </si>
  <si>
    <t>TAILGATE HINGE</t>
  </si>
  <si>
    <t>K7C</t>
  </si>
  <si>
    <t>OIL CIRCUIT HEAT SHIELD</t>
  </si>
  <si>
    <t>RETURN PIPE OIL VAPOUR</t>
  </si>
  <si>
    <t>A42</t>
  </si>
  <si>
    <t>HEATSHIELDS ON ELECTRICAL ITEMS</t>
  </si>
  <si>
    <t>A24</t>
  </si>
  <si>
    <t>POWER TRAIN GEARBOX CALCULATOR</t>
  </si>
  <si>
    <t>C26</t>
  </si>
  <si>
    <t>STEERING MECHANISM THERMAL SCREEN</t>
  </si>
  <si>
    <t>E41</t>
  </si>
  <si>
    <t>FRT MEP BRAKE PIPES RRFRTCONNECTOR ON UNIT</t>
  </si>
  <si>
    <t>CONNECTION PIPE BRAKE UNDER BODY ON RR FLEXIBLE BRAKE HOSE</t>
  </si>
  <si>
    <t>CONNECTION PIPE FRT BRAKE ON FLEXIBLE FRT BRAKE</t>
  </si>
  <si>
    <t>POWER STEERING PIPELINES ON MECHANISM (HYDRAULIC STEERING)</t>
  </si>
  <si>
    <t>HFK (HANDS-FREE KIT), USB BOX, SERVICE MODULE</t>
  </si>
  <si>
    <t>ENGINE HARNESS</t>
  </si>
  <si>
    <t xml:space="preserve">BATTERY NEGATIVE CABLE </t>
  </si>
  <si>
    <t>POWER HARNESS - POSITIVE BATTERY CABLES</t>
  </si>
  <si>
    <t>DELTA P PARTICULAR FILTER (FAP) PRESSURE SENSOR</t>
  </si>
  <si>
    <t>FRONT SUSPENSION TRIANGLE (L&amp;R)</t>
  </si>
  <si>
    <t>E12</t>
  </si>
  <si>
    <t>AIR INLET/OUTLET ON TURBO CONNECTORS</t>
  </si>
  <si>
    <t>GAUGE GUIDE (DW12B)</t>
  </si>
  <si>
    <t>A15</t>
  </si>
  <si>
    <t>ENGINE CLTRL ELECTRONIC CASE</t>
  </si>
  <si>
    <t>FRT TUBE REINFORCEMENT BRACKET</t>
  </si>
  <si>
    <t>STEERING MECHANISM</t>
  </si>
  <si>
    <t>HEAT SHIELD ON EXHAUST (PRE-CAT CONVERTER)</t>
  </si>
  <si>
    <t>A41</t>
  </si>
  <si>
    <t>DASHBOARD HARNESS</t>
  </si>
  <si>
    <t>Z9N</t>
  </si>
  <si>
    <t xml:space="preserve">FRT PIPING CATALYST </t>
  </si>
  <si>
    <t>FAP-TEMPERATURE-SENSOR</t>
  </si>
  <si>
    <t>ASHF COMPUTER - HANDS-FREE STARTING ACCESS</t>
  </si>
  <si>
    <t>TRANSMISSION ON INTERMEDIATE BEARING</t>
  </si>
  <si>
    <t>B31</t>
  </si>
  <si>
    <t>DEGASSING TUBE - CONNECTION AND FLANGING</t>
  </si>
  <si>
    <t>WINDSHIELD APERTURE PILLAR TRIM</t>
  </si>
  <si>
    <t>R2B</t>
  </si>
  <si>
    <t>VARIOUS WATER PIPES (EXTRA HEATING…)</t>
  </si>
  <si>
    <t>VACUUM RESERVE ON VEHICLE</t>
  </si>
  <si>
    <t>A38</t>
  </si>
  <si>
    <t>ACCESSORY SUPPORTS</t>
  </si>
  <si>
    <t>IDLER &amp; TENSIONER ROLLERS</t>
  </si>
  <si>
    <t>EXHAUST HEAT SHIELD MOTOR SIDE</t>
  </si>
  <si>
    <t>FRONT WINGS - BIW</t>
  </si>
  <si>
    <t>K3C</t>
  </si>
  <si>
    <t>SMIF HEAT SHIELDS</t>
  </si>
  <si>
    <t>FRT BRAKE FLEXIBLE</t>
  </si>
  <si>
    <t>RR BRAKE HOSE</t>
  </si>
  <si>
    <t>REAR WHEEL SPEED SENSOR</t>
  </si>
  <si>
    <t>BLENDING ENTRY &amp; EXIT ON RADIATOR</t>
  </si>
  <si>
    <t>FRONT ANTI ROLL BAR</t>
  </si>
  <si>
    <t>E15</t>
  </si>
  <si>
    <t>FRT BEARING PART ON PIVOT</t>
  </si>
  <si>
    <t>FRONT ANTI ROLL BAR LINK</t>
  </si>
  <si>
    <t>WHEEL ASSEMBLY ON WISHBONE</t>
  </si>
  <si>
    <t>MOUNTING EXHAUST HANGER ON BODY</t>
  </si>
  <si>
    <t>REAR ANTI ROLL BAR</t>
  </si>
  <si>
    <t>POWER STEERING PUMP OR TANDEM</t>
  </si>
  <si>
    <t>WELDING BELT REINFORCEMENT</t>
  </si>
  <si>
    <t>K4A</t>
  </si>
  <si>
    <t>ANTI VERTICAL TORQUE LINK SUPPORT (ON ENGINE AND BODY)</t>
  </si>
  <si>
    <t>G54</t>
  </si>
  <si>
    <t>GEARSHIFT CABLES ON GEARBOX</t>
  </si>
  <si>
    <t>ELECTRIC PARKING BRAKE (OR SECONDARY) ECU</t>
  </si>
  <si>
    <t>BONNET SOUND DEADENING</t>
  </si>
  <si>
    <t>X1B</t>
  </si>
  <si>
    <t xml:space="preserve">SHIELD DISC BRAKE FRT </t>
  </si>
  <si>
    <t>F21</t>
  </si>
  <si>
    <t>RR BRAKE DISK</t>
  </si>
  <si>
    <t>F31</t>
  </si>
  <si>
    <t>POWER STEERING COOLING CIRCUIT</t>
  </si>
  <si>
    <t>ADDITIVE RESERVOIR</t>
  </si>
  <si>
    <t xml:space="preserve">CSS - SUSPENSION CONTROL CALCULATOR </t>
  </si>
  <si>
    <t>FRT &amp; RR BUMPER - LOWER MOUNT</t>
  </si>
  <si>
    <t>SHIELD UNDER ENGINE</t>
  </si>
  <si>
    <t>X1C</t>
  </si>
  <si>
    <t>EMBLEM &amp; BADGES</t>
  </si>
  <si>
    <t>R5D</t>
  </si>
  <si>
    <t>DOOR WEATHERSTRIP</t>
  </si>
  <si>
    <t>BTA AUTONOMOUS TELEMATIC UNIT</t>
  </si>
  <si>
    <t>AIR CONDITIONING AND HEATER MATRIX ON FIREWALL</t>
  </si>
  <si>
    <t>FRT BUMPER - GRILLE</t>
  </si>
  <si>
    <t>R3L</t>
  </si>
  <si>
    <t>ROOF TRIM (LONG AND SHORT )</t>
  </si>
  <si>
    <t>R3C</t>
  </si>
  <si>
    <t>RADIATOR INLET AND OUTLET WATER PIPE RADIATOR SIDE</t>
  </si>
  <si>
    <t>DOOR LOCK CONNECTOR</t>
  </si>
  <si>
    <t>GLASS CHANNEL</t>
  </si>
  <si>
    <t>W2B</t>
  </si>
  <si>
    <t>DOOR SEALING SHEET</t>
  </si>
  <si>
    <t xml:space="preserve">PROTECTOR LOWER DOOR </t>
  </si>
  <si>
    <t>R3D</t>
  </si>
  <si>
    <t>INTERIOR FINISHER GUSSET DOOR</t>
  </si>
  <si>
    <t>N4B</t>
  </si>
  <si>
    <t>ORDER MANUAL WINDOW REGULATOR</t>
  </si>
  <si>
    <t>N5A</t>
  </si>
  <si>
    <t>RR FLAP STABILIZER BALL</t>
  </si>
  <si>
    <t>N5B</t>
  </si>
  <si>
    <t xml:space="preserve">PASSENGER COMPARTMENT SIDE FIREWALL SOUNDPROOFING </t>
  </si>
  <si>
    <t>X2B</t>
  </si>
  <si>
    <t>BULKHEAD SOUNDPROOFING, ENGINE SIDE</t>
  </si>
  <si>
    <t>DOOR GLASS MOBILE</t>
  </si>
  <si>
    <t>P1C</t>
  </si>
  <si>
    <t>LOUDSPEAKER WOOFER FR &amp; RR DOOR</t>
  </si>
  <si>
    <t>INSIDE OPENING/CLOSING CONTROL</t>
  </si>
  <si>
    <t>N1D</t>
  </si>
  <si>
    <t>DOOR WINDOW WEATHER STRIP</t>
  </si>
  <si>
    <t>W2D</t>
  </si>
  <si>
    <t>DOOR FRONT SEAL</t>
  </si>
  <si>
    <t>REAR DOOR FRAME FRONT SEAL</t>
  </si>
  <si>
    <t>COE EXTERNAL DOOR OPENING CONTROL</t>
  </si>
  <si>
    <t>DOOR GLASS-LIFT MECHANISM</t>
  </si>
  <si>
    <t>ANTENNA BASE</t>
  </si>
  <si>
    <t>HOOD STAY</t>
  </si>
  <si>
    <t>DOOR SILL SEAL</t>
  </si>
  <si>
    <t>DOOR CHECK STAY</t>
  </si>
  <si>
    <t>MANUFACTURER’S PLATE</t>
  </si>
  <si>
    <t>T3G</t>
  </si>
  <si>
    <t>OUTSIDE WINDOW WEATHER STRIP</t>
  </si>
  <si>
    <t>W2C</t>
  </si>
  <si>
    <t xml:space="preserve">COMPARTMENT WIPER HOSE </t>
  </si>
  <si>
    <t>Z6C</t>
  </si>
  <si>
    <t>REAR VIEW MIRROR CASING</t>
  </si>
  <si>
    <t>HOOD STOP</t>
  </si>
  <si>
    <t>31/03/2023</t>
  </si>
  <si>
    <t>BRACE ABSORBENT SHOCK INT DOOR</t>
  </si>
  <si>
    <t>T3L</t>
  </si>
  <si>
    <t xml:space="preserve">HOOD OPENING-CLOSING CONTROL </t>
  </si>
  <si>
    <t>PYROTECHNICS SYSTEM ELECTRICAL CONTROL UNIT</t>
  </si>
  <si>
    <t>CRASH DETECTION SENSOR</t>
  </si>
  <si>
    <t>DOOR FIXED GLAZING</t>
  </si>
  <si>
    <t>13/10/2017</t>
  </si>
  <si>
    <t>REAR ACCESS LOCK</t>
  </si>
  <si>
    <t>EXTERNAL FINISHER GUSSET &amp; JET WATER</t>
  </si>
  <si>
    <t>R3A</t>
  </si>
  <si>
    <t>DRIVER WINDOW – MIRROR REGULATOR UNIT</t>
  </si>
  <si>
    <t>PASSENGER COMPARTMENT HARNESS</t>
  </si>
  <si>
    <t>Z9S</t>
  </si>
  <si>
    <t>MAIN HARNESS</t>
  </si>
  <si>
    <t>RADIO AERIAL CABLE (PASS CPT AREA)</t>
  </si>
  <si>
    <t>DOOR HARNESS</t>
  </si>
  <si>
    <t>Z9R</t>
  </si>
  <si>
    <t>FINISHER FRAMING OF DOOR - OUTSIDE</t>
  </si>
  <si>
    <t>R2D</t>
  </si>
  <si>
    <t>TAILGATE HARNESS</t>
  </si>
  <si>
    <t>Z9P</t>
  </si>
  <si>
    <t>ROOF TRIM</t>
  </si>
  <si>
    <t>RR OPENING SEAL</t>
  </si>
  <si>
    <t xml:space="preserve">A PILLAR TRIM </t>
  </si>
  <si>
    <t>PARKING BRAKE GUIDE PIPE CABLE</t>
  </si>
  <si>
    <t>REAR HOOD SEAL</t>
  </si>
  <si>
    <t xml:space="preserve">B PILLAR TRIM </t>
  </si>
  <si>
    <t xml:space="preserve">QUARTER TRIM </t>
  </si>
  <si>
    <t>ENS ROOF PANEL CONSOLE</t>
  </si>
  <si>
    <t>HALF-OPEN GLASS</t>
  </si>
  <si>
    <t>P1D</t>
  </si>
  <si>
    <t>SUNROOF</t>
  </si>
  <si>
    <t>K7D</t>
  </si>
  <si>
    <t>CURTAIN AIRBAG</t>
  </si>
  <si>
    <t>CARPET</t>
  </si>
  <si>
    <t xml:space="preserve">SIDE RAIL TRIM </t>
  </si>
  <si>
    <t>GRAB HANDLE AND GLASSES STORAGE</t>
  </si>
  <si>
    <t>T3A</t>
  </si>
  <si>
    <t>SLIDING SUNROOF DRAIN</t>
  </si>
  <si>
    <t>W5A</t>
  </si>
  <si>
    <t>FRT RR DOORWAY SEALS</t>
  </si>
  <si>
    <t>3RD BRAKE LIGHT</t>
  </si>
  <si>
    <t>Z2T</t>
  </si>
  <si>
    <t>COURTESY LIGHT</t>
  </si>
  <si>
    <t>Z2K</t>
  </si>
  <si>
    <t>SUN VISORS</t>
  </si>
  <si>
    <t>AMPLIFIER MASTER-CYLINDER &amp; PEDAL UNIT</t>
  </si>
  <si>
    <t>FIXED QUARTER PANEL AND NON MOVABLE WINDOW</t>
  </si>
  <si>
    <t>ELECTRIC GAS PEDAL</t>
  </si>
  <si>
    <t>CIELO BLIND</t>
  </si>
  <si>
    <t>P1F</t>
  </si>
  <si>
    <t>TRUNK SIDE TRIM</t>
  </si>
  <si>
    <t>PARKING BRAKE LEVER SECONDARY MECHANICAL BRAKE</t>
  </si>
  <si>
    <t>FRONT SEAT BELT - REEL AND PILLAR LOOP</t>
  </si>
  <si>
    <t>U1A</t>
  </si>
  <si>
    <t>REAR SEAT BELT - REEL AND PILLAR LOOP</t>
  </si>
  <si>
    <t>FRT SEAT BELT - WEBBING GUIDE</t>
  </si>
  <si>
    <t>RR WINDOW WIPER MOTOR</t>
  </si>
  <si>
    <t>WIPER MOTOR OR MECHANISM ENS</t>
  </si>
  <si>
    <t>FRT WINDSHIELD WIPER HOSE</t>
  </si>
  <si>
    <t>REAR SHELF TRIM</t>
  </si>
  <si>
    <t>DIVERSITY BOX</t>
  </si>
  <si>
    <t>WINDSHIELD WASHER RESERVOIR</t>
  </si>
  <si>
    <t>PLENUM CHAMBER</t>
  </si>
  <si>
    <t xml:space="preserve">RIGHT ENGINE MOUNTING ON ENGINE AND SIDE RAIL </t>
  </si>
  <si>
    <t>RR WINDOW CONNECTION</t>
  </si>
  <si>
    <t>Z6J</t>
  </si>
  <si>
    <t>CANISTER</t>
  </si>
  <si>
    <t>B34</t>
  </si>
  <si>
    <t xml:space="preserve">COOLING DUCT ON COMPRESSOR AND CONDENSOR </t>
  </si>
  <si>
    <t>FUEL FILLER FLAP UNIT</t>
  </si>
  <si>
    <t>K7E</t>
  </si>
  <si>
    <t>POWER POWER STEERING ELECTRIC PUMP</t>
  </si>
  <si>
    <t>DEGASSING BOX</t>
  </si>
  <si>
    <t>AIR FILTER SUPPORT</t>
  </si>
  <si>
    <t>SUPPORT PUNT LEFT ON GEARBOX AND SIDE RAIL</t>
  </si>
  <si>
    <t>FUEL TANK SPOUT / FUEL TUBING</t>
  </si>
  <si>
    <t>DOOR PANEL</t>
  </si>
  <si>
    <t>UNDER BODY FUEL FEED LINES - IF AUTOMATIC</t>
  </si>
  <si>
    <t>RR SUSPENSION SPRING</t>
  </si>
  <si>
    <t>RR BODY SUSPENSION SPRING ON AXLE</t>
  </si>
  <si>
    <t>E24</t>
  </si>
  <si>
    <t>BFH12 / BFH5 - COMPARTMENT RELAY FUSE BOX</t>
  </si>
  <si>
    <t xml:space="preserve">HEAT SHIELD ON STEERING MECHANISM </t>
  </si>
  <si>
    <t>SZA</t>
  </si>
  <si>
    <t>DISTANCE ALERT UNIT - (AAS)</t>
  </si>
  <si>
    <t>BSR - TOWING RELAY UNIT</t>
  </si>
  <si>
    <t>PROTECTION SWITCH CASE</t>
  </si>
  <si>
    <t>K2B</t>
  </si>
  <si>
    <t>UNDER BODY VENTILATION SCREENS - AUTOMATIC ASSEMBLY</t>
  </si>
  <si>
    <t>GEARSHIFT - FLOOR</t>
  </si>
  <si>
    <t>FRT BEARING PART ON BODY</t>
  </si>
  <si>
    <t>FUEL TANK MOUNTING</t>
  </si>
  <si>
    <t>ABS ESP UNIT - ANTILOCK BREAK SYSTEM / ELECTRIC STABILITY PROGRAM</t>
  </si>
  <si>
    <t>UNDER BODY BRAKE PIPE</t>
  </si>
  <si>
    <t xml:space="preserve">UNDER DASHBOARD SOUNDPROOFING </t>
  </si>
  <si>
    <t>HYDRAULIC CLUTCH MASTER-CYLINDER</t>
  </si>
  <si>
    <t>UNDER BODY FUEL FEED LINES</t>
  </si>
  <si>
    <t>HATCHBACK REAR SHELF (MOBILE)</t>
  </si>
  <si>
    <t>MFAV UNIT - FRT FUSE MATRIX</t>
  </si>
  <si>
    <t>Z9Z</t>
  </si>
  <si>
    <t xml:space="preserve">RR AXLE - COLLAPSIBLE CROSSMEMBER </t>
  </si>
  <si>
    <t>CROSS BRACING - NOT BUILT INTO AXLE</t>
  </si>
  <si>
    <t>CONNECTING BVCC ON TMCA</t>
  </si>
  <si>
    <t>REAR SHOCK ABSORBER</t>
  </si>
  <si>
    <t>RR DAMPER LOWER FIXATION</t>
  </si>
  <si>
    <t>FRONT WING UPPER FINISHER</t>
  </si>
  <si>
    <t>UPPER CAR BODY TRIM</t>
  </si>
  <si>
    <t>WATER CONNECTOR INLET / OUTLET</t>
  </si>
  <si>
    <t>RR DOOR GUSSET INR FINISHER</t>
  </si>
  <si>
    <t>16/02/2023</t>
  </si>
  <si>
    <t>REAR ACCESS CLOSER SWITCH</t>
  </si>
  <si>
    <t>MOTORIZED REAR TAILGATE ELEC CASE</t>
  </si>
  <si>
    <t>CHARGING PLUG (BEPR)</t>
  </si>
  <si>
    <t>REAR SOUND DEADENING WHEEL ARCH</t>
  </si>
  <si>
    <t>30/03/2023</t>
  </si>
  <si>
    <t>FRONT SAFETY BELT STRAP DEVIATOR</t>
  </si>
  <si>
    <t>01/02/2023</t>
  </si>
  <si>
    <t>FRONT/REAR SOUND DEADENING TUNNEL</t>
  </si>
  <si>
    <t>INSPECTION TRAP</t>
  </si>
  <si>
    <t>FRONT RADAR ELECTRONIC UNIT ENS</t>
  </si>
  <si>
    <t>STIFFENER ROOF PANEL</t>
  </si>
  <si>
    <t>29/03/2023</t>
  </si>
  <si>
    <t>DOOR MOUNTED SEAL</t>
  </si>
  <si>
    <t>FRT RH AND RR MAT CARPET</t>
  </si>
  <si>
    <t>BRAKE VACUUM PUMP SUPPORT</t>
  </si>
  <si>
    <t>F66</t>
  </si>
  <si>
    <t>REFRIGERATION COMPRESSOR SUPPORT (BEV)</t>
  </si>
  <si>
    <t>WATER PIPE INLET BRACKET ELECTRIC PUMP (BEV)</t>
  </si>
  <si>
    <t>01266_22_00356</t>
  </si>
  <si>
    <t>FRONT BUMPER HARNESS</t>
  </si>
  <si>
    <t>FAISCEAU PARE CHOC AV</t>
  </si>
  <si>
    <t>01266_23_00186</t>
  </si>
  <si>
    <t>ECLAIREUR VIDE-POCHES PLANCHE BORD</t>
  </si>
  <si>
    <t>FACIA PANEL MAG POUCH LIGHT</t>
  </si>
  <si>
    <t>Z2M</t>
  </si>
  <si>
    <t>01266_23_00185</t>
  </si>
  <si>
    <t>COMMANDE NEUTRALISATION SAC GONFLABLE PASSAGER</t>
  </si>
  <si>
    <t>PASSENGER AIRBAG DISABLING CONTROL</t>
  </si>
  <si>
    <t>ETRIER FREIN AV/AR</t>
  </si>
  <si>
    <t>FRT/RR BRAKE CALIPER</t>
  </si>
  <si>
    <t>REAR G/W SQUEEGEE ARM</t>
  </si>
  <si>
    <t>FRONT G/W SQUEEGEE ARM</t>
  </si>
  <si>
    <t>in file poro</t>
  </si>
  <si>
    <t>01266_23_00324</t>
  </si>
  <si>
    <t>SUPPORT AR D/G GROUPE ELECTROMOTEUR AR</t>
  </si>
  <si>
    <t>01266_23_00368</t>
  </si>
  <si>
    <t>SUPPORT BOITIER ELECTRONIQUE CONTROLEUR CTR HYDROGENE</t>
  </si>
  <si>
    <t>SUPPORT ELECTRONIC BOX CONTROLLER FCPS</t>
  </si>
  <si>
    <t>A53</t>
  </si>
  <si>
    <t>01266_23_00370</t>
  </si>
  <si>
    <t>BOITIER ELECTRONIQUE CONTROLEUR CTR HYDROGENE</t>
  </si>
  <si>
    <t>ELECTRONIC BOX CONTROLLER FCPS</t>
  </si>
  <si>
    <t>01266_23_00369</t>
  </si>
  <si>
    <t>FOND BOITIER PRISE CHARGE</t>
  </si>
  <si>
    <t>CHARGING PLUG HOUSING BOTTOM</t>
  </si>
  <si>
    <t>01266_23_00371</t>
  </si>
  <si>
    <t>SUPPORT HUMIDIFICATEUR AIR PILE COMBUSTIBLE</t>
  </si>
  <si>
    <t>SUPPORT AIR HUMIDIFIER FUEL CELL</t>
  </si>
  <si>
    <t>A52</t>
  </si>
  <si>
    <t>01266_23_00372</t>
  </si>
  <si>
    <t>01266_23_00373</t>
  </si>
  <si>
    <t>01266_23_00374</t>
  </si>
  <si>
    <t>HUMIDIFICATEUR AIR PILE COMBUSTIBLE</t>
  </si>
  <si>
    <t>AIR HUMIDIFIER FUEL CELL</t>
  </si>
  <si>
    <t>COMPRESSEUR AIR PILE COMBUSTIBLE</t>
  </si>
  <si>
    <t>AIR COMPRESSOR FUEL CELL</t>
  </si>
  <si>
    <t>ECHANGEUR EAU-AIR ADMISSION TURBOCOMPRESSEUR</t>
  </si>
  <si>
    <t>WATER COOLER AIR TURBOCHARGER</t>
  </si>
  <si>
    <t>01266_23_00375</t>
  </si>
  <si>
    <t>PILE COMBUSTIBLE ASS</t>
  </si>
  <si>
    <t>FUEL CELL STACK ASM</t>
  </si>
  <si>
    <t>01266_23_00327</t>
  </si>
  <si>
    <t>MODULE GESTION THERMIQUE CIRCUIT EAU ENS</t>
  </si>
  <si>
    <t>WATER LOOP THERMAL MANAGEMENT MODULE ENS</t>
  </si>
  <si>
    <t>01266_23_00322</t>
  </si>
  <si>
    <t>DEFLECTEUR AIR SUP AR</t>
  </si>
  <si>
    <t>RR UPR AIR BAFFLE</t>
  </si>
  <si>
    <t>01266_23_00328</t>
  </si>
  <si>
    <t>01266_23_00325</t>
  </si>
  <si>
    <t>DEFLECTEUR AIR VENTILATEUR BATTERIE TRACTION</t>
  </si>
  <si>
    <t>AIR DEFLECTOR VENTING TRACTION BATTERY</t>
  </si>
  <si>
    <t>01266_23_00333</t>
  </si>
  <si>
    <t>01266_23_00334</t>
  </si>
  <si>
    <t>01266_23_00335</t>
  </si>
  <si>
    <t>BOITIER ELECTRONIQUE ZONAL AVANT-CHAINE TRACTION</t>
  </si>
  <si>
    <t>FRONT-POWERTRAIN ZONAL CONTROL UNIT</t>
  </si>
  <si>
    <t>ENJOLIVEUR AILE AV/AR</t>
  </si>
  <si>
    <t>FRT/RR FINISHER FENDER</t>
  </si>
  <si>
    <t>PROJECTEUR BROUILLARD</t>
  </si>
  <si>
    <t>FOG LIGHT</t>
  </si>
  <si>
    <t>01266_23_00336</t>
  </si>
  <si>
    <t>CONVERTISSEUR ELECTRIQUE STOCKAGE ENERGIE ADD</t>
  </si>
  <si>
    <t>ELECTRIC CONVERTER ENERGY PROVIDER ADD</t>
  </si>
  <si>
    <t xml:space="preserve"> 27/07/2022 </t>
  </si>
  <si>
    <t>01266_23_00398</t>
  </si>
  <si>
    <t>COUPELLE INF RESSORT SUSPENSION AR</t>
  </si>
  <si>
    <t>01266_23_00399</t>
  </si>
  <si>
    <t>SUPPORT CAPTEUR AIDE STATIONNEMENT</t>
  </si>
  <si>
    <t>SUPPORT OBSTRUCTION DETECTION SENSOR</t>
  </si>
  <si>
    <t>01266_23_00400</t>
  </si>
  <si>
    <t>CAPTEUR AIDE STATIONNEMENT</t>
  </si>
  <si>
    <t>OBSTRUCTION DETECTION SENSOR</t>
  </si>
  <si>
    <t>01266_23_00391</t>
  </si>
  <si>
    <t>01266_23_00392</t>
  </si>
  <si>
    <t>01266_23_00393</t>
  </si>
  <si>
    <t>01266_23_00394</t>
  </si>
  <si>
    <t>01266_23_00395</t>
  </si>
  <si>
    <t>01266_23_00396</t>
  </si>
  <si>
    <t>01266_23_00397</t>
  </si>
  <si>
    <t>Z2C</t>
  </si>
  <si>
    <t>PSA DEC</t>
  </si>
  <si>
    <t>reference</t>
  </si>
  <si>
    <t>english designation</t>
  </si>
  <si>
    <t>psa code</t>
  </si>
  <si>
    <t>vehicule area</t>
  </si>
  <si>
    <t>last modification</t>
  </si>
  <si>
    <t>Ref screw, nut  BdL</t>
  </si>
  <si>
    <t>nb Tightening</t>
  </si>
  <si>
    <t>Nb Tightening LVE</t>
  </si>
  <si>
    <t>Ref clip BdL</t>
  </si>
  <si>
    <t>Nb agrafes BdL</t>
  </si>
  <si>
    <t>triplet for poro</t>
  </si>
  <si>
    <t>FRONT/REAR LASHING EYES</t>
  </si>
  <si>
    <t>Interior Trims</t>
  </si>
  <si>
    <t>23/02/2023</t>
  </si>
  <si>
    <t>Update format to do</t>
  </si>
  <si>
    <t>-
B SOLUTION 9809840080  SCREW H RP18 M6X100 L20 AC8 ZLVFGL FP coef 1</t>
  </si>
  <si>
    <t>0
1</t>
  </si>
  <si>
    <t>0
0</t>
  </si>
  <si>
    <t>-
-</t>
  </si>
  <si>
    <t>-
HSP10_8_15</t>
  </si>
  <si>
    <t>REF part</t>
  </si>
  <si>
    <t>Consommation</t>
  </si>
  <si>
    <t>Coef</t>
  </si>
  <si>
    <t>LOT</t>
  </si>
  <si>
    <t>DEC</t>
  </si>
  <si>
    <t>EN Designation</t>
  </si>
  <si>
    <t>Type vissage</t>
  </si>
  <si>
    <t>Torque</t>
  </si>
  <si>
    <t>Tolerance torque</t>
  </si>
  <si>
    <t>Ref apoqua</t>
  </si>
  <si>
    <t>apoqua link</t>
  </si>
  <si>
    <t>Statut</t>
  </si>
  <si>
    <t>CX_generique</t>
  </si>
  <si>
    <t>message</t>
  </si>
  <si>
    <t>type part</t>
  </si>
  <si>
    <t>http://docinfogroupe.inetpsa.com/ead/doc/ref.01266_22_00523/v.vc/fiche</t>
  </si>
  <si>
    <t>Apoqua reference</t>
  </si>
  <si>
    <t>Fitted part</t>
  </si>
  <si>
    <t>BDL</t>
  </si>
  <si>
    <t>VNB</t>
  </si>
  <si>
    <t>FER</t>
  </si>
  <si>
    <t>Receiving part</t>
  </si>
  <si>
    <t>X</t>
  </si>
  <si>
    <t>01266_23_00190</t>
  </si>
  <si>
    <t>01266_23_00193</t>
  </si>
  <si>
    <t>01266_22_00509</t>
  </si>
  <si>
    <t>01266_22_00139</t>
  </si>
  <si>
    <t>01266_23_00189</t>
  </si>
  <si>
    <t>01266_23_00187</t>
  </si>
  <si>
    <t>01266_23_00188</t>
  </si>
  <si>
    <t>01266_23_00191</t>
  </si>
  <si>
    <t>01266_23_00192</t>
  </si>
  <si>
    <t>TRUNCK CARPET</t>
  </si>
  <si>
    <t>SEAL TAILGATE APERTURE</t>
  </si>
  <si>
    <t>REAR WINDOW WIPER MOTOR</t>
  </si>
  <si>
    <t>FRONT FENDER UPPER FINISHER</t>
  </si>
  <si>
    <t>FINISHER DRIP CHANNEL</t>
  </si>
  <si>
    <t>REAR GAS SPRING</t>
  </si>
  <si>
    <t>CENTRAL AIRBAG DEFLECTOR</t>
  </si>
  <si>
    <t>WINDSCREEN DEFROSTING GRID</t>
  </si>
  <si>
    <t>DUCT AIR DISTRIBUTION FACIA PANEL RH/LH</t>
  </si>
  <si>
    <t>DUCT AIR DISTRIBUTION FACIA PANEL</t>
  </si>
  <si>
    <t>FACIA PNL MIXER AIR DUCT on DASHBOARD</t>
  </si>
  <si>
    <t>AIR DIFUSER ADJUSTABLE LH RH FACIA PANEL</t>
  </si>
  <si>
    <t>FRONT ARM WIPER BLADE GLASS WIPE</t>
  </si>
  <si>
    <t>FRONT BRAKE DISK</t>
  </si>
  <si>
    <t>RANK 1 SEAT</t>
  </si>
  <si>
    <t>WATER OUTLET COLLECTOR</t>
  </si>
  <si>
    <t>ARMATURE BUMPER FRONT</t>
  </si>
  <si>
    <t>FRAME TRIM HATCH</t>
  </si>
  <si>
    <t>FLEXIBLE FR BRAKE SUPPORT</t>
  </si>
  <si>
    <t>UPPER FRONT IMPACT ABSORPTION SYSTEM</t>
  </si>
  <si>
    <t>SEALING CLAMP COOLING PLATE TRACTION BATERY</t>
  </si>
  <si>
    <t>INTERNAL HARNESS BAT LOCK</t>
  </si>
  <si>
    <t>AIR DUCT DEMISTER WINDSCREEN</t>
  </si>
  <si>
    <t xml:space="preserve">LOWER FRONT IMPACT ABSORPTION SYSTEM  </t>
  </si>
  <si>
    <t>F11</t>
  </si>
  <si>
    <t>Front Face and Hood</t>
  </si>
  <si>
    <t>Lateral Face and Doors</t>
  </si>
  <si>
    <t>Roof and Roof trim</t>
  </si>
  <si>
    <t>Dashboard and console</t>
  </si>
  <si>
    <t>Rear Face and Tailgate</t>
  </si>
  <si>
    <t>Seats and safety belts</t>
  </si>
  <si>
    <t>NEW</t>
  </si>
  <si>
    <t>Engine and Gearbox</t>
  </si>
  <si>
    <t>Engine and Gearbox Adaptation</t>
  </si>
  <si>
    <t>Under Body</t>
  </si>
  <si>
    <t>Battery under body</t>
  </si>
  <si>
    <t>Harness and ECUs</t>
  </si>
  <si>
    <t>24/04/2023</t>
  </si>
  <si>
    <t>21/04/2023</t>
  </si>
  <si>
    <t>04/07/2023</t>
  </si>
  <si>
    <t>19/04/2023</t>
  </si>
  <si>
    <t>29/08/2023</t>
  </si>
  <si>
    <t>25/04/2023</t>
  </si>
  <si>
    <t>02/06/2023</t>
  </si>
  <si>
    <t>05/07/2023</t>
  </si>
  <si>
    <t>29/05/2023</t>
  </si>
  <si>
    <t>22/05/2023</t>
  </si>
  <si>
    <t>28/07/2023</t>
  </si>
  <si>
    <t>08/06/2023</t>
  </si>
  <si>
    <t>04/08/2021</t>
  </si>
  <si>
    <t>20/06/2023</t>
  </si>
  <si>
    <t>26/04/2023</t>
  </si>
  <si>
    <t>24/06/2021</t>
  </si>
  <si>
    <t>15/03/2017</t>
  </si>
  <si>
    <t>27/04/2023</t>
  </si>
  <si>
    <t>20/04/2023</t>
  </si>
  <si>
    <t>25/05/2023</t>
  </si>
  <si>
    <t>18/08/2023</t>
  </si>
  <si>
    <t>07/07/2023</t>
  </si>
  <si>
    <t>24/07/2023</t>
  </si>
  <si>
    <t>07/06/2023</t>
  </si>
  <si>
    <t>20/03/2023</t>
  </si>
  <si>
    <t>26/07/2023</t>
  </si>
  <si>
    <t>17/08/2023</t>
  </si>
  <si>
    <t>02/05/2023</t>
  </si>
  <si>
    <t>30/05/2023</t>
  </si>
  <si>
    <t>15/08/2023</t>
  </si>
  <si>
    <t>06/04/2023</t>
  </si>
  <si>
    <t>10/04/2023</t>
  </si>
  <si>
    <t>27/07/2023</t>
  </si>
  <si>
    <t>25/08/2023</t>
  </si>
  <si>
    <t xml:space="preserve"> coef </t>
  </si>
  <si>
    <t xml:space="preserve"> coef 1</t>
  </si>
  <si>
    <t>TX30_8_15</t>
  </si>
  <si>
    <t xml:space="preserve">   coef </t>
  </si>
  <si>
    <t xml:space="preserve"> coef 3</t>
  </si>
  <si>
    <t>TX20_2_15</t>
  </si>
  <si>
    <t>HSP10_8_15</t>
  </si>
  <si>
    <t xml:space="preserve"> 9621385880 RIVET DEMONT 6,5 D22 E3,8 E6 PLAS coef 1 PER PART</t>
  </si>
  <si>
    <t xml:space="preserve"> coef 1 PER PART</t>
  </si>
  <si>
    <t xml:space="preserve">  TO CONVERGE coef </t>
  </si>
  <si>
    <t xml:space="preserve"> 7903233029 NUT  K H EMB NETT M6X100 AC8 ZNIA3L coef 1</t>
  </si>
  <si>
    <t xml:space="preserve"> 7903233039 NUT K H RCN M10X150 AC8 ZNIDN3L 4N coef 1</t>
  </si>
  <si>
    <t>HSP16_25_15</t>
  </si>
  <si>
    <t xml:space="preserve"> 7903233042 ECROU KP H EMB M6X100 AC8 ZNIA3L coef 1</t>
  </si>
  <si>
    <t xml:space="preserve"> 7903233042 ECROU KP H EMB M6X100 AC8 ZNIA3L coef 2</t>
  </si>
  <si>
    <t xml:space="preserve"> 7903233042 ECROU KP H EMB M6X100 AC8 ZNIA3L coef 3 or 4</t>
  </si>
  <si>
    <t>3 or 4</t>
  </si>
  <si>
    <t xml:space="preserve"> 7903233042 ECROU KP H EMB M6X100 AC8 ZNIA3L coef 6
 9822751380 VIS H EMB M6X100 L20 AC8 ZLVFGL FP coef 1</t>
  </si>
  <si>
    <t>6
1</t>
  </si>
  <si>
    <t>HSP10_8_15
HSP10_8_15</t>
  </si>
  <si>
    <t xml:space="preserve"> 7903233050 ECROU H EMB M12X175 AC10 ZNIA3L coef 2 at 4</t>
  </si>
  <si>
    <t>2 at 4</t>
  </si>
  <si>
    <t>HSP18_120_10</t>
  </si>
  <si>
    <t>HSP16_60_10</t>
  </si>
  <si>
    <t xml:space="preserve"> 9626890780 SCREW KM FX M6X100 L14 AC8 ZNIA3L CO coef 2</t>
  </si>
  <si>
    <t>TX30_10_15</t>
  </si>
  <si>
    <t xml:space="preserve"> 9644634980 VIS HR EMB M12X175 L32 AC10 ZLVMGL CO coef 3 to 4
 9837950580 ECROU % HR EMB M12X175 AC10 ZLVFGL coef 1 per belt buckle/anchorage</t>
  </si>
  <si>
    <t>3 to 4
1 per belt buckle/anchorage</t>
  </si>
  <si>
    <t>HSP16_40_15
HSP16_40_15</t>
  </si>
  <si>
    <t>HSP10_4_15</t>
  </si>
  <si>
    <t>4
1</t>
  </si>
  <si>
    <t>HSP13_20_15
HSP13_20_15</t>
  </si>
  <si>
    <t xml:space="preserve"> 9675317780 VIS H EMB M8X125 L45 AC10 ZNIDA3L CC coef 4</t>
  </si>
  <si>
    <t>HSP13_20_15</t>
  </si>
  <si>
    <t>HSP21_100_10</t>
  </si>
  <si>
    <t xml:space="preserve"> 9801024980 VIS RLX MTEND 4,5 L20 AC ZNIDN3L coef 1</t>
  </si>
  <si>
    <t>2
2</t>
  </si>
  <si>
    <t>0
0
0</t>
  </si>
  <si>
    <t>-
-
-</t>
  </si>
  <si>
    <t xml:space="preserve"> 9802244280 SCREW % H EMB M6X100 L25 AC8 ZNIDA3L FP coef 2
-</t>
  </si>
  <si>
    <t>2
0</t>
  </si>
  <si>
    <t>0
 coef 2</t>
  </si>
  <si>
    <t xml:space="preserve"> 9802244280 VIS % H EMB M6X100 L25 AC8 ZNIDA3L FP coef 2</t>
  </si>
  <si>
    <t xml:space="preserve"> 9802558580 VIS H EMB M8X125 L35 AC8 ZNIA3L FP coef 1</t>
  </si>
  <si>
    <t xml:space="preserve"> 9802774480 VIS H RC18 M6X100 L25 AC8 ZLVMGL FP coef 4</t>
  </si>
  <si>
    <t xml:space="preserve"> 9804583680 RIVET AVEUG G 4,8 L8,9 AC AIGUILLE coef 3</t>
  </si>
  <si>
    <t xml:space="preserve"> 9809840080 VIS H RP18 M6X100 L20 AC8 ZLVFGL FP coef 4</t>
  </si>
  <si>
    <t xml:space="preserve"> 9822751380 VIS H EMB M6X100 L20 AC8 ZLVFGL FP coef 2</t>
  </si>
  <si>
    <t xml:space="preserve"> 9844403680 VIS % H EMB RP30 E3 M12X175 L65 AC10 ZLVFGL FPCO coef 3</t>
  </si>
  <si>
    <t xml:space="preserve"> designation NUT KP H EMB M8X125 AC8 ZNIA3L coef 1</t>
  </si>
  <si>
    <t>HSP13_12_15</t>
  </si>
  <si>
    <t>HSP11_40_15
HSP11_15_15</t>
  </si>
  <si>
    <t xml:space="preserve"> 9680901977 AGR SUPP VAR 1T 8 TR coef 1
 9671706480 AGR SUPP CD 1T 7 TROU FROM PLAS coef 1</t>
  </si>
  <si>
    <t xml:space="preserve"> coef 1
 coef 1</t>
  </si>
  <si>
    <t>-
 9801024980 VIS RLX MTEND 4,5 L20 AC ZNIDN3L coef 5
 9681595580 ECROU HX EMB BORGN 5X160 PLAS coef 2</t>
  </si>
  <si>
    <t>0
5
2</t>
  </si>
  <si>
    <t xml:space="preserve"> 9830832080 CLIP MAIN DEMON Q8 D28 E3E4,5 METAL PLAS coef 4
-
-</t>
  </si>
  <si>
    <t xml:space="preserve"> coef 4
0
0</t>
  </si>
  <si>
    <t>-
TX20_2_15
TX20_2_15</t>
  </si>
  <si>
    <t>Banjo type coef 3
Delta type coef 3
Double rail coef 5</t>
  </si>
  <si>
    <t>HSP10_8_15
HSP10_8_15
HSP10_8_15</t>
  </si>
  <si>
    <t>degraded solution 9802186380 SCREW % H RC22 M8X125 L25 AC8 ZLVFGL FP coef 1</t>
  </si>
  <si>
    <t>DOOR WITH FRAME 9804583680 RIVET AVEUG G 4,8 L8,9 AC AIGUILLE coef 1
-</t>
  </si>
  <si>
    <t>1
0</t>
  </si>
  <si>
    <t>0
DOOR WITHOUT FRAME coef 1</t>
  </si>
  <si>
    <t>-
XE04_8_15</t>
  </si>
  <si>
    <t>If the last staple is far more than 50 mm from the end of the joint 9675380280 VIS RLX MTEND 4,5 L19 AC ZNIN3L coef 1</t>
  </si>
  <si>
    <t>2
4</t>
  </si>
  <si>
    <t>STLA M 9823889980 SCREW H EMB RP30 M8X125 L30 AC10 ZLVFGL FP  coef 8
CMP 9830872680 SCREW % H RC22 ENDUC M8X125 L25 AC8 FP coef 6</t>
  </si>
  <si>
    <t>8
6</t>
  </si>
  <si>
    <t>HSP13_30_15
HSP13_20_15</t>
  </si>
  <si>
    <t>STLA S / M' / M 9801024980 VIS RLX MTEND 4,5 L20 AC ZNIDN3L coef 3
-
STLA M 9622267180 VIS K CBLX RPL MTEND 6 L25 AC ZNIDN3L coef 3
STLA M 9824674580 VIS RLX M6X100 L20 AC8 ZNIN3L FP coef 1
-</t>
  </si>
  <si>
    <t>3
0
3
1
0</t>
  </si>
  <si>
    <t>0
0
0
0
0</t>
  </si>
  <si>
    <t>-
STLA S / M' 9830832080 CLIP MAIN DEMON Q8 D28 E3E4,5 METAL PLAS coef 7 or 8
-
-
STLA M only right 9648975680 RIVET DEMONT 8 D20 E2 E7,5 PLAS coef 1</t>
  </si>
  <si>
    <t>0
STLA S / M' coef 7 or 8
0
0
STLA M only right coef 1</t>
  </si>
  <si>
    <t>TX20_2_15
-
TX30_4_15
TX30_4_15
-</t>
  </si>
  <si>
    <t xml:space="preserve">Target  ADHESIVE* coef </t>
  </si>
  <si>
    <t>0__</t>
  </si>
  <si>
    <t xml:space="preserve">Target  CLIPS coef </t>
  </si>
  <si>
    <t xml:space="preserve">Target  NO FASTENER coef </t>
  </si>
  <si>
    <t xml:space="preserve">Target  PAS DE FIXATION / NO FIXATION coef </t>
  </si>
  <si>
    <t xml:space="preserve">Target  SCREW H RC18 M6X100 L25 AC8 ZLVMGL FP coef </t>
  </si>
  <si>
    <t>HSP10__</t>
  </si>
  <si>
    <t xml:space="preserve">Target  SCREW KP RLX M6X100 L25 AC8 ZNIN3L CY coef </t>
  </si>
  <si>
    <t>TX30__</t>
  </si>
  <si>
    <t xml:space="preserve">Target  SCREW RLX M6X100 L20 AC8 ZNIN3L FP coef </t>
  </si>
  <si>
    <t>TX30_4_15</t>
  </si>
  <si>
    <t xml:space="preserve">Target  STEEL RIVET coef </t>
  </si>
  <si>
    <t>TARGET 9621385880 RIVET DEMONT 6,5 D22 E3,8 E6 PLAS coef 2</t>
  </si>
  <si>
    <t>Target 9822751380 SCREW H EMB M6X100 L20 AC8 ZLVFGL FP coef 4</t>
  </si>
  <si>
    <t>TARGET STLA 9809840080 SCREW H RP18 M6X100 L20 AC8 ZLVFGL FP coef 6
EMP2 9802774480 SCREW H RC18 M6X100 L25 AC8 ZLVMGL FP coef 6
CMP 9822798080 SCREW H EMB M8X125 L20 AC8 ZNIA3L FP coef 6</t>
  </si>
  <si>
    <t>6
6
6</t>
  </si>
  <si>
    <t xml:space="preserve">Target  NUT H RPL NETT M6X100 AC8 ZNIA3L                                                                                coef </t>
  </si>
  <si>
    <t xml:space="preserve">Target  SCREW KM FX M6X100 L14 AC8 ZNIA3L CO coef </t>
  </si>
  <si>
    <t xml:space="preserve"> 9621574980 NUT H RPL NETT M6X100 AC8 ZNIA3L  coef 3
 9623155680 SCREW H RP18 M6X100 L20 AC8 ZNIN3L FP coef 4</t>
  </si>
  <si>
    <t>3
4</t>
  </si>
  <si>
    <t>HSP10_4_15
-</t>
  </si>
  <si>
    <t xml:space="preserve">Target  NO FIXATION, ONLY CLIPPING coef </t>
  </si>
  <si>
    <t>Target 9803725880 SCREW CBLX M8X125 L26 AC10 ZNIDN3L FP coef 3x4</t>
  </si>
  <si>
    <t>3x4</t>
  </si>
  <si>
    <t>TX40_20_15</t>
  </si>
  <si>
    <t xml:space="preserve">Target  STAPLE MAINT PINC 2P E1,5 E8 AC ZLVFGO coef </t>
  </si>
  <si>
    <t xml:space="preserve">Target  NO SPECIFIC FIXATION* coef </t>
  </si>
  <si>
    <t xml:space="preserve">Target  SCREW XEP EMB PERC TARAUD M5X0,8 L18 ZNI
 coef </t>
  </si>
  <si>
    <t xml:space="preserve">Target  PART PLACED ON TUNNEL coef </t>
  </si>
  <si>
    <t xml:space="preserve">Target  NUT KP H EMB M6X100 AC8 ZNIA3L coef </t>
  </si>
  <si>
    <t>HSP13__</t>
  </si>
  <si>
    <t xml:space="preserve">Target  NUT H RPL NETT M6X100 AC8 ZNIA3L coef </t>
  </si>
  <si>
    <t xml:space="preserve">Target  SCREW RLX MTEND 4,5 L19 AC ZNIN3L coef </t>
  </si>
  <si>
    <t>Target 9848112980 SCREW H RP26 M6X100 L20 AC8 ZLVFGL FP coef 2</t>
  </si>
  <si>
    <t xml:space="preserve">Target  NUT H EMB RTS FREIN M M10X150 AC10 FE/ZNNI FCA coef </t>
  </si>
  <si>
    <t>XE14__</t>
  </si>
  <si>
    <t xml:space="preserve">Target  SCREW H RP26 M6X100 L20 AC8 ZLVFGL FP coef </t>
  </si>
  <si>
    <t>RR BODY HEIGHT SENSOR</t>
  </si>
  <si>
    <t>16/06/2022</t>
  </si>
  <si>
    <t xml:space="preserve"> 7903233042 NUT KP H EMB M6X100 AC8 ZNIA3L coef 2</t>
  </si>
  <si>
    <t>http://docinfogroupe.inetpsa.com/ead/doc/ref.01266_13_00605/v.vc/fiche</t>
  </si>
  <si>
    <t>CX-00057207</t>
  </si>
  <si>
    <t>30/08/2023</t>
  </si>
  <si>
    <t xml:space="preserve"> 9677602580 SCREW % CBLX M10X150 L30 AC10 FP coef 4</t>
  </si>
  <si>
    <t>TX40_30_15</t>
  </si>
  <si>
    <t>VSC</t>
  </si>
  <si>
    <t>CX-00018359</t>
  </si>
  <si>
    <t>FRT height sensor</t>
  </si>
  <si>
    <t>24/03/2021</t>
  </si>
  <si>
    <t xml:space="preserve"> 9822751380 SCREW H EMB M6X100 L20 AC8 ZLVFGL FP / Tapping  coef 1</t>
  </si>
  <si>
    <t>http://docinfogroupe.inetpsa.com/ead/doc/ref.01266_10_00744/v.vc/fiche</t>
  </si>
  <si>
    <t>CX-00071884</t>
  </si>
  <si>
    <t>http://docinfogroupe.inetpsa.com/ead/doc/ref.01266_10_00643/v.vc/fiche</t>
  </si>
  <si>
    <t>VSB</t>
  </si>
  <si>
    <t>http://docinfogroupe.inetpsa.com/ead/doc/ref.01266_10_01548/v.vc/fiche</t>
  </si>
  <si>
    <t>CX-00068446</t>
  </si>
  <si>
    <t>21/09/2023</t>
  </si>
  <si>
    <t xml:space="preserve"> 9841237880 SCREW % H EMB ENDUC LS M8x125 L40 AC10 ZLVMNL FP coef 1</t>
  </si>
  <si>
    <t>HSP13_30_15</t>
  </si>
  <si>
    <t>http://docinfogroupe.inetpsa.com/ead/doc/ref.DITV_ATAT07_0018/v.vc/fiche</t>
  </si>
  <si>
    <t>CX-00021367</t>
  </si>
  <si>
    <t>DOOR STRICKER</t>
  </si>
  <si>
    <t>20/12/2017</t>
  </si>
  <si>
    <t xml:space="preserve"> 9678660980 VIS % FX M8X125 L25 AC8 ZNIDA3L FP coef 2</t>
  </si>
  <si>
    <t>http://docinfogroupe.inetpsa.com/ead/doc/ref.DITV_ATAT07_0090/v.vc/fiche</t>
  </si>
  <si>
    <t>CX-00010571</t>
  </si>
  <si>
    <t>REAR OPENING STRIKER</t>
  </si>
  <si>
    <t>16/06/2021</t>
  </si>
  <si>
    <t xml:space="preserve"> tailgate on body 7903301290 SCREW H RCL M6X100 L25 AC8 DACA NOIR CY coef 2
trunk on body 9685216780 SCREW H RC18 M6X100 L30 AC10 ZLVMGL XE coef 2</t>
  </si>
  <si>
    <t>http://docinfogroupe.inetpsa.com/ead/doc/ref.DPTA_DMOV06_0145/v.vc/fiche</t>
  </si>
  <si>
    <t>CX-00026604</t>
  </si>
  <si>
    <t>CX-00014591</t>
  </si>
  <si>
    <t>RR OPENING STRIKER</t>
  </si>
  <si>
    <t>simple latch 9685216780 SCREW H RC18 M6X100 L30 AC10 ZLVMGL XE coef 2
double latch 9849004880 SCREW % H EMB RP20 M6X100 L60 AC10 ZLVFGL XE coef 4</t>
  </si>
  <si>
    <t>http://docinfogroupe.inetpsa.com/ead/doc/ref.DITV_ATAT07_0037/v.vc/fiche</t>
  </si>
  <si>
    <t>CX-00007792</t>
  </si>
  <si>
    <t>DOOR LATCH</t>
  </si>
  <si>
    <t>03/09/2022</t>
  </si>
  <si>
    <t xml:space="preserve"> 9675768080 SCREW CBLX M6X100 L15 AC08 ZNIN3L FP coef 3</t>
  </si>
  <si>
    <t>http://docinfogroupe.inetpsa.com/ead/doc/ref.DPTA_DMOV06_0013/v.vc/fiche</t>
  </si>
  <si>
    <t>CX-00007821</t>
  </si>
  <si>
    <t xml:space="preserve"> 9824674580 SCREW RLX M6X100 L20 AC8 ZNIN3L FP coef 2</t>
  </si>
  <si>
    <t>http://docinfogroupe.inetpsa.com/ead/doc/ref.DPTA_DMOV06_0082/v.vc/fiche</t>
  </si>
  <si>
    <t>CX-00074606</t>
  </si>
  <si>
    <t>12/09/2022</t>
  </si>
  <si>
    <t xml:space="preserve"> 9684437480 SCREW XE EMB TARAUD CASS M6X100 L12 AC9 coef 1
-</t>
  </si>
  <si>
    <t>-
 9684437480 AGR K MAINT BOUTON 6 E0,7 E8 D21 PLAS coef 1</t>
  </si>
  <si>
    <t>0
 coef 1</t>
  </si>
  <si>
    <t>XE06_20_15
-</t>
  </si>
  <si>
    <t>VNC</t>
  </si>
  <si>
    <t>http://docinfogroupe.inetpsa.com/ead/doc/ref.DITV_ATAT07_0053/v.vc/fiche</t>
  </si>
  <si>
    <t>CX-00026638</t>
  </si>
  <si>
    <t xml:space="preserve"> 7903233042 NUT KP H EMB M6X100 AC8 ZNIA3L coef 1
-
 9678268380 SCREW CBX RCN M8X125 L30 AC10 ZNIDN3L FP coef 1</t>
  </si>
  <si>
    <t>HSP10_10_15
HSP10_10_15
TX40_30_15</t>
  </si>
  <si>
    <t>1
-
1</t>
  </si>
  <si>
    <t>-
 coef 1
-</t>
  </si>
  <si>
    <t>http://docinfogroupe.inetpsa.com/ead/doc/ref.DPTA_DMOV06_0016/v.vc/fiche</t>
  </si>
  <si>
    <t>CX-00010380</t>
  </si>
  <si>
    <t>CX-00007681</t>
  </si>
  <si>
    <t xml:space="preserve"> 9684033880 NUT % H EMB FREIN M14X150 AC8 ZNIA3L coef 1</t>
  </si>
  <si>
    <t>http://docinfogroupe.inetpsa.com/ead/doc/ref.01266_11_00285/v.vc/fiche</t>
  </si>
  <si>
    <t>CX-00019660</t>
  </si>
  <si>
    <t>DOOR HINGE - BODY PLANT</t>
  </si>
  <si>
    <t>05/10/2016</t>
  </si>
  <si>
    <t>on door 9628107680 SCREW RLX M8X125 L26 AC10 ZLVMGL CC coef 1
on body 9674550680 SCREW % H RCL M8X125 L30 AC10 ZLVMGL FP coef 2</t>
  </si>
  <si>
    <t>1
2</t>
  </si>
  <si>
    <t>TX40_30_15
HSP13_32_15</t>
  </si>
  <si>
    <t>http://docinfogroupe.inetpsa.com/ead/doc/ref.01266_11_00413/v.vc/fiche</t>
  </si>
  <si>
    <t>CX-00026265</t>
  </si>
  <si>
    <t>CX-00033503</t>
  </si>
  <si>
    <t xml:space="preserve"> 9674550680 SCREW % H RC22 M8X125 L30 AC10 ZLVMGL FP coef 4
 9674550080 SCREW H RCL M8X125 L45 AC8 ZLVMGL FP coef 1</t>
  </si>
  <si>
    <t>VCB</t>
  </si>
  <si>
    <t>http://docinfogroupe.inetpsa.com/ead/doc/ref.01266_10_00632/v.vc/fiche</t>
  </si>
  <si>
    <t>CX-00007731</t>
  </si>
  <si>
    <t>CX-00016403</t>
  </si>
  <si>
    <t>31/01/2019</t>
  </si>
  <si>
    <t>http://docinfogroupe.inetpsa.com/ead/doc/ref.DPTA_DMOV06_0075/v.vc/fiche</t>
  </si>
  <si>
    <t>CX-00010417</t>
  </si>
  <si>
    <t>for Zaineb</t>
  </si>
  <si>
    <t>in pfr for Lionel</t>
  </si>
  <si>
    <t>12/09/2023</t>
  </si>
  <si>
    <t xml:space="preserve"> 7903233042 NUT KP H EMB M6X100 AC8 ZNIA3L coef 4 TO 6</t>
  </si>
  <si>
    <t>4 TO 6</t>
  </si>
  <si>
    <t>http://docinfogroupe.inetpsa.com/ead/doc/ref.01266_09_00156/v.vc/fiche</t>
  </si>
  <si>
    <t>CX-00026339</t>
  </si>
  <si>
    <t>http://docinfogroupe.inetpsa.com/ead/doc/ref.01266_22_00359/v.vc/fiche</t>
  </si>
  <si>
    <t>CX-00010399</t>
  </si>
  <si>
    <t>1 PER WIPER</t>
  </si>
  <si>
    <t>http://docinfogroupe.inetpsa.com/ead/doc/ref.01266_23_00189/v.vc/fiche</t>
  </si>
  <si>
    <t>CX-00010398</t>
  </si>
  <si>
    <t>MANUAL / POWER LIFTGATE 9678268380 SCREW CBX RCN M8X125 L30 AC10 ZNIDN3L FP coef 2
MANUAL LIFTGATE / BODY 9605782980 AXLE K VIS RCL SPH10 L15 M8X125 L15 AC coef 2
-</t>
  </si>
  <si>
    <t>2
2
0</t>
  </si>
  <si>
    <t>0
0
LIFTGATE WITH MANUAL AND POWER VERSION coef 2</t>
  </si>
  <si>
    <t>TX40_20_15
HSP13_20_15
-</t>
  </si>
  <si>
    <t>http://docinfogroupe.inetpsa.com/ead/doc/ref.DPTA_DMOV05_0966/v.vc/fiche</t>
  </si>
  <si>
    <t>CX-00015548</t>
  </si>
  <si>
    <t>CX-00058491</t>
  </si>
  <si>
    <t>ADAPTATOR RADIO AERIAL FM1-FM2-DAB</t>
  </si>
  <si>
    <t>30/06/2017</t>
  </si>
  <si>
    <t>ON METAL TAILGATE 9684717580 SCREW % H EMB TARAUC M6X100 L22 AC ZNIDA3L coef 1
ON PLASTIC TAILGATE 9686685480 SCREW H RPN M6X100 L25 AC8 ZLVMGL OF coef 1</t>
  </si>
  <si>
    <t>1
1</t>
  </si>
  <si>
    <t>HSP10_10_15
HSP10_8_15</t>
  </si>
  <si>
    <t>http://docinfogroupe.inetpsa.com/ead/doc/ref.01266_13_00289/v.vc/fiche</t>
  </si>
  <si>
    <t>CX-00031138</t>
  </si>
  <si>
    <t>CX-00016921</t>
  </si>
  <si>
    <t xml:space="preserve"> 9671588080 NUT H RPL NETT M6X100 AC8 ZNIA3L coef 1</t>
  </si>
  <si>
    <t>http://docinfogroupe.inetpsa.com/ead/doc/ref.01266_16_00110/v.vc/fiche</t>
  </si>
  <si>
    <t>CX-00056933</t>
  </si>
  <si>
    <t xml:space="preserve"> 9801970280 NUT H RCN M8X125 AC8 ZNIDA3L coef 2
 9802186380 SCREW % H RC22 M8X125 L25 AC8 ZLVFGL FP coef 2</t>
  </si>
  <si>
    <t>STEERING COLUMN COMPLETE (UPPER ZONE)</t>
  </si>
  <si>
    <t>http://docinfogroupe.inetpsa.com/ead/doc/ref.01266_15_00670/v.vc/fiche</t>
  </si>
  <si>
    <t>CX-00020838</t>
  </si>
  <si>
    <t xml:space="preserve"> 9801970280 NUT H RCN M8X125 AC8 ZNIDA3L coef 2
 9802186380 SCREW % H RC22 M8X125 L25 AC8 ZLVFGL FP coef 2
 9841237880 SCREW % H EMB ENDUC LS M8x125 L40 AC10 ZLVMNL FP coef 1</t>
  </si>
  <si>
    <t>2
2
1</t>
  </si>
  <si>
    <t>HSP13_20_15
HSP13_20_15
HSP13_30_15</t>
  </si>
  <si>
    <t xml:space="preserve">FRT/RR BRAKE CALIPER </t>
  </si>
  <si>
    <t>REAR BRAKE CALIPER  9800220780 SCREW % CX RCL ENDUC LS M12X150 L40 AC10 coef 2
FRONT BRAKE CALIPER  9804740880 SCREW % H EMB ENDUC LS M12X150 L30 AC10 coef 2</t>
  </si>
  <si>
    <t>TX55_100_10
HSP18_100_10</t>
  </si>
  <si>
    <t>http://docinfogroupe.inetpsa.com/ead/doc/ref.01266_19_00213/v.vc/fiche</t>
  </si>
  <si>
    <t>CX-00061003</t>
  </si>
  <si>
    <t>CX-00067431</t>
  </si>
  <si>
    <t xml:space="preserve">LWR RH EPWT FRT ANTI TORQUE BRACKET </t>
  </si>
  <si>
    <t>27/09/2023</t>
  </si>
  <si>
    <t xml:space="preserve"> 9853111280 SCREW % HRX EMB RP24 M12X175 L84 AC10 ZLVFGL CO coef 2</t>
  </si>
  <si>
    <t>HSP16_90_10</t>
  </si>
  <si>
    <t>http://docinfogroupe.inetpsa.com/ead/doc/ref.01266_22_00003/v.vc/fiche</t>
  </si>
  <si>
    <t>CX-00070395</t>
  </si>
  <si>
    <t xml:space="preserve">FRT ANTIROLL BAR </t>
  </si>
  <si>
    <t>05/10/2023</t>
  </si>
  <si>
    <t>-
-
-
-
-
-</t>
  </si>
  <si>
    <t>0
0
0
0
0
0</t>
  </si>
  <si>
    <t>http://docinfogroupe.inetpsa.com/ead/doc/ref.DITV_ATAT07_0265/v.vc/fiche</t>
  </si>
  <si>
    <t>CX-00068688</t>
  </si>
  <si>
    <t>Fitted</t>
  </si>
  <si>
    <t>06513962AA
06513904AA</t>
  </si>
  <si>
    <t>06102058AA
06513902AA</t>
  </si>
  <si>
    <t xml:space="preserve">VSC </t>
  </si>
  <si>
    <t>Receiving</t>
  </si>
  <si>
    <t xml:space="preserve">STLA-M 9833142280 SCREW % HR EMB M12X125 L70 AC10 FP  coef 2
STLA-S 9861538780 SCREW % H EMB M10X150 L90 AC10 ZLVFGL FP coef 2
STLA-L 06513962AA
06513904AA SCREW HD CONE WASHER HEADER M12X1,75X32
NUT M14X1.50 FLAT WASH LOCK coef 2
STLA-L 06102058AA
06513902AA WELDED NUT M12X1.75
SCREW M14X1,5X120 FLAT WASH coef 2
</t>
  </si>
  <si>
    <t xml:space="preserve">2
2
2
2
</t>
  </si>
  <si>
    <t xml:space="preserve">0
0
0
0
</t>
  </si>
  <si>
    <t xml:space="preserve">-
-
-
-
</t>
  </si>
  <si>
    <t xml:space="preserve">HSP13_80_10
HSP16_60_10
HSP16_60_10
HSP18_120_10
</t>
  </si>
  <si>
    <t>FRONT BEARING PARTS</t>
  </si>
  <si>
    <t>20/01/2022</t>
  </si>
  <si>
    <t xml:space="preserve">STLA-M 9648066780 NUT K H EMB FREIN M M16X150 AC10 FF coef 2
STLA-M 9806295280 SCREW % XE EMB EPAUL M16X150 L85 AC10 CY coef 2
CMP 9826549380 NUT % H EMB M12X150 AC12 ZLVFGL FF coef 2
CMP 9829394880 SCREW AXE % XE EMB M12X150 L72 AC10 ZLVFGL coef 2
EMP2 9673485380 NUT % H EMB RTS FREIN NM M14X150 AC10 coef 2
EMP2 9800751780 SCREW VIS % AXE XE EMB M14X150 L84 XE AC10 coef 2
</t>
  </si>
  <si>
    <t>2
2
2
2
2
2</t>
  </si>
  <si>
    <t>HSP24_110_10 A90 F0 111
-
HSP18_80_10 A90 F0 67
-
HSP18_110_10 A90 F0 90 
-</t>
  </si>
  <si>
    <t>VSA</t>
  </si>
  <si>
    <t>10 A90 F0 111</t>
  </si>
  <si>
    <t>http://docinfogroupe.inetpsa.com/ead/doc/ref.DITV_ATAT07_0266/v.vc/fiche</t>
  </si>
  <si>
    <t>CX-00041051</t>
  </si>
  <si>
    <t>10 A90 F0 67</t>
  </si>
  <si>
    <t>CX-00019581</t>
  </si>
  <si>
    <t xml:space="preserve">10 A90 F0 90 </t>
  </si>
  <si>
    <t>FRONT ANTI-ROLL BAR ROD</t>
  </si>
  <si>
    <t>15/05/2019</t>
  </si>
  <si>
    <t xml:space="preserve"> 9817224280 NUT % H EMB FREIN NM M10X125 AC10 ZNIA3L coef 2</t>
  </si>
  <si>
    <t>http://docinfogroupe.inetpsa.com/ead/doc/ref.DITV_ATAT07_0267/v.vc/fiche</t>
  </si>
  <si>
    <t>CX-00015406</t>
  </si>
  <si>
    <t>17/05/2022</t>
  </si>
  <si>
    <t>BAIL coef 1
FRT BRAKE TUBE coef 1</t>
  </si>
  <si>
    <t>REAR BRAKE FLEXIBLE</t>
  </si>
  <si>
    <t>18/01/2021</t>
  </si>
  <si>
    <t>HSP11_40_15</t>
  </si>
  <si>
    <t>04/12/2020</t>
  </si>
  <si>
    <t>PIVOT 9822750180 SCREW H EMB M6X100 L16 AC8 ZLVFGL FP coef 3 or 4
FLEXIBLE SUPPORT 9822750180 SCREW H EMB M6X100 L16 AC8 ZLVFGL FP coef 1</t>
  </si>
  <si>
    <t>3 or 4
1</t>
  </si>
  <si>
    <t>http://docinfogroupe.inetpsa.com/ead/doc/ref.DITV_ATAT07_0289/v.vc/fiche</t>
  </si>
  <si>
    <t>CX-00020958</t>
  </si>
  <si>
    <t>CX-00074236</t>
  </si>
  <si>
    <t xml:space="preserve"> 7903602377 SCREW HR EMB M12X175 L60 AC10 ZNIDA3L CC coef 2</t>
  </si>
  <si>
    <t>HSP16_60_15</t>
  </si>
  <si>
    <t>http://docinfogroupe.inetpsa.com/ead/doc/ref.01266_20_00215/v.vc/fiche</t>
  </si>
  <si>
    <t>CX-00042387</t>
  </si>
  <si>
    <t>on dashboard 9801970280 NUT H RCN M8X125 AC8 ZNIDA3L 8N coef 2
on tunnel 9674550680 SCREW  % H RC22 M8X125 L30 AC10 ZLVMGL FP coef 1
B-solution / on dashboard 9674550680 SCREW  % H RC22 M8X125 L30 AC10 ZLVMGL FP coef 2
B solution / on tunnel 9674550680 SCREW  % H RC22 M8X125 L30 AC10 ZLVMGL FP coef 1</t>
  </si>
  <si>
    <t>2
1
2
1</t>
  </si>
  <si>
    <t>0
0
0
0</t>
  </si>
  <si>
    <t>-
-
-
-</t>
  </si>
  <si>
    <t>HSP13_20_15
HSP13_20_15
HSP13_20_15
HSP13_20_15</t>
  </si>
  <si>
    <t>http://docinfogroupe.inetpsa.com/ead/doc/ref.01266_19_00845/v.vc/fiche</t>
  </si>
  <si>
    <t>09/10/2023</t>
  </si>
  <si>
    <t>COMPRESSION REFRIGERATION PIPE ON CONDENSOR</t>
  </si>
  <si>
    <t>euroclim 7903233042 NUT KP H EMB M6X100 AC8 ZNIA3L coef 1
seal washer 7903233043 NUT KP H EMB M8X125 AC8 ZNIA3L coef 1</t>
  </si>
  <si>
    <t>HSP10_10_15
HSP13_20_15</t>
  </si>
  <si>
    <t>http://docinfogroupe.inetpsa.com/ead/doc/ref.DITV_ATAT07_0276/v.vc/fiche</t>
  </si>
  <si>
    <t>CX-00076903</t>
  </si>
  <si>
    <t>16/05/2019</t>
  </si>
  <si>
    <t>FIXED AND MOBILE TAILGATE LEAF</t>
  </si>
  <si>
    <t>1
0
2</t>
  </si>
  <si>
    <t>0
 coef 1
0</t>
  </si>
  <si>
    <t>HSP13_30_15
-
HSP13_20_15</t>
  </si>
  <si>
    <t>ON BODY 9859653380 NUT H RP35 M8X125 AC10 ZNIDA3L coef 1
-
ON SHUTTER 9802186380 SCREW % H RC22 M8X125 L25 AC8 ZLVFGL FP coef 2</t>
  </si>
  <si>
    <t>http://docinfogroupe.inetpsa.com/ead/doc/ref.DITV_ATAT07_0184/v.vc/fiche</t>
  </si>
  <si>
    <t>CX-00034395</t>
  </si>
  <si>
    <t xml:space="preserve">VNB </t>
  </si>
  <si>
    <t>CX-00023670</t>
  </si>
  <si>
    <t>19/10/2023</t>
  </si>
  <si>
    <t xml:space="preserve"> 9671588080 NUT H RPL NETT M6X100 AC8 ZNIA3L coef 3</t>
  </si>
  <si>
    <t>http://docinfogroupe.inetpsa.com/ead/doc/ref.01266_23_00333/v.vc/fiche</t>
  </si>
  <si>
    <t>SUPPORT RR ELECTRIC POWERTRAIN RR</t>
  </si>
  <si>
    <t>STLA-M STLA-S 9850480880 SCREW % H EMB M12X175 L62 AC10 ZLVFGL FP coef 3 to 4
STLA-L 06513986AA SCREW HEX DRIVE CONE WASH FULL BODY M14X100 L65 coef 2</t>
  </si>
  <si>
    <t>3 to 4
2</t>
  </si>
  <si>
    <t>HSP18_100_10
HSP18_170_10</t>
  </si>
  <si>
    <t>3 to 4</t>
  </si>
  <si>
    <t>http://docinfogroupe.inetpsa.com/ead/doc/ref.01266_23_00324/v.vc/fiche</t>
  </si>
  <si>
    <t xml:space="preserve">CX-00069104 </t>
  </si>
  <si>
    <t>06513986AA</t>
  </si>
  <si>
    <t xml:space="preserve">R5M </t>
  </si>
  <si>
    <t xml:space="preserve"> 9824674580 SCREW RLX M6X100 L20 AC8 ZNIN3L FP coef 3</t>
  </si>
  <si>
    <t>http://docinfogroupe.inetpsa.com/ead/doc/ref.01266_23_00322/v.vc/fiche</t>
  </si>
  <si>
    <t>Front and Rear Bumpers Assembly (plastic shop)</t>
  </si>
  <si>
    <t>12/10/2023</t>
  </si>
  <si>
    <t xml:space="preserve"> 9822750180 SCREW H EMB M6X100 L16 AC8 ZLVFGL FP coef 4</t>
  </si>
  <si>
    <t>http://docinfogroupe.inetpsa.com/ead/doc/ref.01266_23_00368/v.vc/fiche</t>
  </si>
  <si>
    <t>SUPPORT CONTROLEUR GESTION CELLULE BATTERIE TRACTION</t>
  </si>
  <si>
    <t>SUPPORT CELL MANAGEMENT CONTROLER BAT</t>
  </si>
  <si>
    <t xml:space="preserve"> 9671588080 NUT H RPL NETT M6X100 AC8 ZNIA3L coef 4</t>
  </si>
  <si>
    <t>HSP10_8_0,15</t>
  </si>
  <si>
    <t>http://docinfogroupe.inetpsa.com/ead/doc/ref.01266_23_00395/v.vc/fiche</t>
  </si>
  <si>
    <t>CX-00070038</t>
  </si>
  <si>
    <t>REAR ANTI-ROLL ROD</t>
  </si>
  <si>
    <t>26/07/2021</t>
  </si>
  <si>
    <t xml:space="preserve"> 9683696980 SCREW K XE EMB RCN M12X175 L65 AC10 ZLVFGL coef 2</t>
  </si>
  <si>
    <t>XE16_75_15</t>
  </si>
  <si>
    <t>http://docinfogroupe.inetpsa.com/ead/doc/ref.DITV_ATAT07_0274/v.vc/fiche</t>
  </si>
  <si>
    <t>CX-00069643</t>
  </si>
  <si>
    <t>FRONT BUMPER UPR GRILL FINISHER</t>
  </si>
  <si>
    <t>ENJOLIVEUR PARE-CHOC AV</t>
  </si>
  <si>
    <t>SWIVEL ATTACHMENT 9662022580 SCREW AXE EPAUL 13 L9 M10X150 L20 ZLVFGL coef 1
FIXED ATTACHMENT 7903233044 NUT KP H EMB M10X150 AC8 ZNIA3L  coef 1</t>
  </si>
  <si>
    <t>http://docinfogroupe.inetpsa.com/ead/doc/ref.CMON_IMV08_0411/v.vc/fiche</t>
  </si>
  <si>
    <t>CX-00060788</t>
  </si>
  <si>
    <t>CX-00018798</t>
  </si>
  <si>
    <t>21/05/2021</t>
  </si>
  <si>
    <t xml:space="preserve"> 9644634980 SCREW HR EMB M12X175 L32 AC10 ZLVMGL CO coef 1</t>
  </si>
  <si>
    <t>HSP16_40_15</t>
  </si>
  <si>
    <t>http://docinfogroupe.inetpsa.com/ead/doc/ref.CMON_MEM08_0266/v.vc/fiche</t>
  </si>
  <si>
    <t>CX-00020535</t>
  </si>
  <si>
    <t>15/11/2021</t>
  </si>
  <si>
    <t>EMP2 / CMP ( centered ) 9802774480 SCREW H RC18 M6X100 L25 AC8 ZLVMGL FP coef 2
EMP2 / CMP ( centered ) 9802774480 SCREW H RC18 M6X100 L25 AC8 ZLVMGL FP coef 2
STLA-M (decentred) 9802774480 SCREW H RC18 M6X100 L25 AC8 ZLVMGL FP coef 4
B SOLUTION 7903301290 SCREW H RCL M6X100 L25 AC8 DACA NOIR CY coef 4</t>
  </si>
  <si>
    <t>2
2
4
4</t>
  </si>
  <si>
    <t>HSP10_4_15
HSP10_4_15
HSP10_4_15
HSP10_4_15</t>
  </si>
  <si>
    <t>http://docinfogroupe.inetpsa.com/ead/doc/ref.DITV_ATAT07_0054/v.vc/fiche</t>
  </si>
  <si>
    <t>CX-00026631</t>
  </si>
  <si>
    <t>CX-00051780</t>
  </si>
  <si>
    <t>CX-00015422</t>
  </si>
  <si>
    <t>CX-00051329</t>
  </si>
  <si>
    <t>16/09/2020</t>
  </si>
  <si>
    <t>ALL 9685584180 SCREW  H RPL NETT M6X100 L30 AC8 ZNIDN3L CY coef 2
CMP 9685584180 SCREW  H RPL NETT M6X100 L30 AC8 ZNIDN3L CY coef 1
EMP2 - STLA-M 9685584180 SCREW  H RPL NETT M6X100 L30 AC8 ZNIDN3L CY coef 1</t>
  </si>
  <si>
    <t>2
1
1</t>
  </si>
  <si>
    <t>http://docinfogroupe.inetpsa.com/ead/doc/ref.DITV_ATAT07_0057/v.vc/fiche</t>
  </si>
  <si>
    <t>CX-00063777</t>
  </si>
  <si>
    <t>CX-00063455</t>
  </si>
  <si>
    <t>CX-00068429</t>
  </si>
  <si>
    <t xml:space="preserve">DOOR GLASS MOBILE </t>
  </si>
  <si>
    <t>ENJOLIVEUR D/G PARE CHOC AV</t>
  </si>
  <si>
    <t>01266_22_00354</t>
  </si>
  <si>
    <t>RH/LH FINISHER FRONT BUMPER</t>
  </si>
  <si>
    <t>08/06/2021</t>
  </si>
  <si>
    <t>CMP 9674550680 VIS % H RC22 M8X125 L30 AC10 ZLVMGL FP coef 6
STLA-M 9847242880 SCREW % H EMB RC32 M10X150 L45 AC10 ZLVFGL FP coef 8</t>
  </si>
  <si>
    <t>6
8</t>
  </si>
  <si>
    <t>HSP13_30_15
HSP16_60_15</t>
  </si>
  <si>
    <t>http://docinfogroupe.inetpsa.com/ead/doc/ref.DITV_ATAT07_0060/v.vc/fiche</t>
  </si>
  <si>
    <t>CX-00028500</t>
  </si>
  <si>
    <t>FRONT/REAR DOOR CHANNEL GUIDE</t>
  </si>
  <si>
    <t>25/10/2023</t>
  </si>
  <si>
    <t>AIR HEATER PIPE GROMMET PLATE</t>
  </si>
  <si>
    <t>26/04/2018</t>
  </si>
  <si>
    <t>CMP 7903017070 SCREW KP CBLX MTEND 4,5 L30 AC ZNIDN3L  coef 1
-</t>
  </si>
  <si>
    <t>0
EMP2 - STLA M coef 1</t>
  </si>
  <si>
    <t>TX20_2_15
TX20_2_15</t>
  </si>
  <si>
    <t>VNT</t>
  </si>
  <si>
    <t>http://docinfogroupe.inetpsa.com/ead/doc/ref.DITV_CMON08_0585/v.vc/fiche</t>
  </si>
  <si>
    <t>CX-00021370</t>
  </si>
  <si>
    <t>26/01/2017</t>
  </si>
  <si>
    <t>01266_20_00770</t>
  </si>
  <si>
    <t>01266_20_00774</t>
  </si>
  <si>
    <t>01266_19_00840</t>
  </si>
  <si>
    <t>01266_19_00778</t>
  </si>
  <si>
    <t>01266_17_01167</t>
  </si>
  <si>
    <t>01266_18_00258</t>
  </si>
  <si>
    <t>01266_19_00185</t>
  </si>
  <si>
    <t>26/11/2019</t>
  </si>
  <si>
    <t>EMP2 / STLA-M / STLA-S 9674550680 SCREW % H RCL M8X125 L30 AC10 ZLVMGL FP coef 3
CMP 9811753080 SCREW % H RC22 M8X125 L24 AC10 ZLVMGL FP coef 3</t>
  </si>
  <si>
    <t>3
3</t>
  </si>
  <si>
    <t>HSP13_30_10
HSP13_30_10</t>
  </si>
  <si>
    <t>http://docinfogroupe.inetpsa.com/ead/doc/ref.DPTA_DMOV06_0212/v.vc/fiche</t>
  </si>
  <si>
    <t>CX-00019539</t>
  </si>
  <si>
    <t>Docinfo</t>
  </si>
  <si>
    <t>http://docinfogroupe.inetpsa.com/ead/doc/ref.01266_21_00091/v.vc/fiche</t>
  </si>
  <si>
    <t>priority list is on this link (reachable also by FPEE share point*) :</t>
  </si>
  <si>
    <t>*</t>
  </si>
  <si>
    <t>designation</t>
  </si>
  <si>
    <t>SCREW K CL SOUD ANN M6X100 L25 AC8 CY</t>
  </si>
  <si>
    <t>SCREW K CL SOUD ANN M8X125 L20 AC8 CY</t>
  </si>
  <si>
    <t>SCREW KP CBLX MTEND 4,5 L30 AC ZNIDN3L</t>
  </si>
  <si>
    <t>NUT K H SOUD M6X100 AC8</t>
  </si>
  <si>
    <t>NUT K H SOUD M8X125 AC8</t>
  </si>
  <si>
    <t>NUT K Q SOUD 5,5 AC6</t>
  </si>
  <si>
    <t>NUT K C SERT M6X100 AC ZNIA3L E0,5 E3</t>
  </si>
  <si>
    <t>NUT K H EMB NETT M6X100 AC8 ZNIA3L</t>
  </si>
  <si>
    <t>NUT K H RCN M10X150 AC8 ZNIDN3L 4N</t>
  </si>
  <si>
    <t>NUT KP H EMB M6X100 AC8 ZNIA3L</t>
  </si>
  <si>
    <t>NUT KP H EMB M8X125 AC8 ZNIA3L</t>
  </si>
  <si>
    <t>NUT KP H EMB M10X150 AC8 ZNIA3L</t>
  </si>
  <si>
    <t>SCREW H RCL M6X100 L25 AC8 DACA NOIR CY</t>
  </si>
  <si>
    <t>SCREW HR EMB M12X175 L60 AC10 ZNIDA3L CC</t>
  </si>
  <si>
    <t>AXE K VIS RCL SPH10 L15 M8X125 L15 AC</t>
  </si>
  <si>
    <t>NUT C SOUD M8X125 AC C10 NRVT</t>
  </si>
  <si>
    <t>NUT CSC SERT M8X125 AC8 E0,8 E3,5</t>
  </si>
  <si>
    <t>SCREW RLX M8X125 L26 AC10 ZLVMGL CC</t>
  </si>
  <si>
    <t>NUT K CSC SERT M6X100 AC8 E0,8 E2</t>
  </si>
  <si>
    <t>NUT C SOUD M10X150 AC C10 NRVT</t>
  </si>
  <si>
    <t>SCREW HR EMB M12X175 L32 AC10 ZLVMGL CO</t>
  </si>
  <si>
    <t>NUT K H EMB FREIN M M16X150 AC10 FF</t>
  </si>
  <si>
    <t>VIS AXE EPAUL 13 L6 M10X150 L20 ZLVMGL</t>
  </si>
  <si>
    <t>NUT H RPL NETT M6X100 AC8 ZNIA3L</t>
  </si>
  <si>
    <t>NUT % H EMB RTS FREIN NM M14X150 AC10</t>
  </si>
  <si>
    <t>SCREW H RCL M8X125 L45 AC8 ZLVMGL FP</t>
  </si>
  <si>
    <t>SCREW % H RC22 M8X125 L30 AC10 ZLVMGL FP</t>
  </si>
  <si>
    <t>NUT % C SOUD M10X150 AC C10</t>
  </si>
  <si>
    <t>SCREW CBLX M6X100 L15 AC08 ZNIN3L FP</t>
  </si>
  <si>
    <t>SCREW % CBLX M10X150 L30 AC10 FP</t>
  </si>
  <si>
    <t>SCREW CBX RCN M8X125 L30 AC10 ZNIDN3L FP</t>
  </si>
  <si>
    <t>SCREW % FX M8X125 L25 AC8 ZNIDA3L FP</t>
  </si>
  <si>
    <t>SCREW K XE EMB RCN M12X175 L65 AC10 ZLVFGL</t>
  </si>
  <si>
    <t>NUT % H EMB FREIN M14X150 AC8 ZNIA3L</t>
  </si>
  <si>
    <t>SCREW XE EMB TARAUD CASS M6X100 L12 AC9</t>
  </si>
  <si>
    <t>SCREW % H EMB TARAUC M6X100 L22 AC ZNIDA3L</t>
  </si>
  <si>
    <t>SCREW H RC18 M6X100 L30 AC10 ZLVMGL XE</t>
  </si>
  <si>
    <t>SCREW H RPL NETT M6X100 L30 AC8 ZNIDN3L CY</t>
  </si>
  <si>
    <t>SCREW H RPN M6X100 L25 AC8 ZLVMGL OF</t>
  </si>
  <si>
    <t>SCREW % CX RCL ENDUC LS M12X150 L40 AC10</t>
  </si>
  <si>
    <t>SCREW % AXE XE EMB M14X150 L84 XE AC10</t>
  </si>
  <si>
    <t>NUT H RCN M8X125 AC8 ZNIDA3L 8N</t>
  </si>
  <si>
    <t>SCREW  H RC18 M6X100 L25 AC8 ZLVMGL FP</t>
  </si>
  <si>
    <t>SCREW % H EMB ENDUC LS M12X150 L30 AC10</t>
  </si>
  <si>
    <t>SCREW % XE EMB EPAUL M16X150 L85 AC10 CY</t>
  </si>
  <si>
    <t>SCREW H RP18 M6X100 L20 AC8 ZLVFGL FP</t>
  </si>
  <si>
    <t>NUT C SOUD M12X175 AC C12 NRVT</t>
  </si>
  <si>
    <t>SCREW % H RC22 M8X125 L24 AC10 ZLVMGL FP</t>
  </si>
  <si>
    <t>NUT % H EMB FREIN NM M10X125 AC10 ZNIA3L</t>
  </si>
  <si>
    <t>STUD CL SOUD M6X100 L22 AC8 ZS5 FP</t>
  </si>
  <si>
    <t>SCREW H EMB M6X100 L16 AC8 ZLVFGL FP</t>
  </si>
  <si>
    <t>SCREW H EMB M6X100 L20 AC8 ZLVFGL FP</t>
  </si>
  <si>
    <t>SCREW RLX M6X100 L20 AC8 ZNIN3L FP</t>
  </si>
  <si>
    <t>NUT % H EMB M12X150 AC12 ZLVFGL FF</t>
  </si>
  <si>
    <t>SCREW AXE % XE EMB M12X150 L72 AC ZLVFGL</t>
  </si>
  <si>
    <t>SCREW % HR EMB M12X125 L70 AC10 FP</t>
  </si>
  <si>
    <t>NUT % C SOUD BOS M10X150 AC C10 ZS5</t>
  </si>
  <si>
    <t>SCREW % CL SOUD ANN M6X100 L20 AC8 FP</t>
  </si>
  <si>
    <t>SCREW % H EMB ENDUC LS  M8x125 L40 AC10 ZLVMNL</t>
  </si>
  <si>
    <t>SCREW % CL SOUD BOS M10X150 L30 AC8 FP</t>
  </si>
  <si>
    <t>SCREW % H EMB RC32 M10X150 L45 AC10 ZLVFGL</t>
  </si>
  <si>
    <t>SCREW % H EMB RP20 M6X100 L60 AC10 ZLVFGL</t>
  </si>
  <si>
    <t>SCREW % H EMB M12X175 L62 AC10 ZLVFGL FP</t>
  </si>
  <si>
    <t>SCREW % HRX EMB RP24 M12X175 L84 AC10 ZLVF</t>
  </si>
  <si>
    <t>NUT H RP35 M8X125 AC10 ZNIDA3L</t>
  </si>
  <si>
    <t>SCREW H EMB M10X150 L90 AC10 ZLVFGL FP</t>
  </si>
  <si>
    <t>AIR CONDITIONING PIPE</t>
  </si>
  <si>
    <t>Cancelled</t>
  </si>
  <si>
    <t>SCREW H RPL NETT M6X100 L30 AC8 ZLFGL CY</t>
  </si>
  <si>
    <t>FRT ARMATURE BUMPER</t>
  </si>
  <si>
    <t>http://docinfogroupe.inetpsa.com/ead/doc/ref.01266_23_00396/v.vc/fiche</t>
  </si>
  <si>
    <t xml:space="preserve">Current Update </t>
  </si>
  <si>
    <t>CX-00057840</t>
  </si>
  <si>
    <t>SCREW RLX MTEND 4,5 L20 AC ZNIDN3L</t>
  </si>
  <si>
    <t>CX-00060347</t>
  </si>
  <si>
    <t>A51</t>
  </si>
  <si>
    <t>under body</t>
  </si>
  <si>
    <t>SCREW H EMB M8X125 L60 AC10 Z5DFJR CC</t>
  </si>
  <si>
    <t>http://docinfogroupe.inetpsa.com/ead/doc/ref.01266_23_00375/v.vc/fiche</t>
  </si>
  <si>
    <t>HARNESS and ECUs</t>
  </si>
  <si>
    <t xml:space="preserve">SCREW % H EMB M6X100 L25 AC8 ZNIDA3L FP </t>
  </si>
  <si>
    <t>http://docinfogroupe.inetpsa.com/ead/doc/ref.01266_23_00374/v.vc/fiche</t>
  </si>
  <si>
    <t>NUT H EMB FREIN NETT M8X125 AC8</t>
  </si>
  <si>
    <t>http://docinfogroupe.inetpsa.com/ead/doc/ref.01266_23_00373/v.vc/fiche</t>
  </si>
  <si>
    <t>SCREW K CL SOUD ANN M8X125 L40 AC8 CY</t>
  </si>
  <si>
    <t xml:space="preserve">9621238480 NUT H EMB FREIN NETT M8X125 AC8, 7903011395 SCREW K CL SOUD ANN M8X125 L40 AC8 CY, Coeff 4 </t>
  </si>
  <si>
    <t>http://docinfogroupe.inetpsa.com/ead/doc/ref.01266_23_00372/v.vc/fiche</t>
  </si>
  <si>
    <t>9822750180 SCREW H EMB M6X100 L16 AC8 ZLVFGL FP, Coeff 4</t>
  </si>
  <si>
    <t>A17</t>
  </si>
  <si>
    <t>Engine and gearbox</t>
  </si>
  <si>
    <t>ENGINE and GEARBOX</t>
  </si>
  <si>
    <t>9862910280 SCREW H EMB M6X100 L35 AC8 ZNIN3L FP, Coeff 2</t>
  </si>
  <si>
    <t>9671588080 NUT H RPL NETT M6X100 AC8 ZNIA3L, 9862428480 STUD XE ENDUC E M6X100 IM11 L35 E9 AC10 ZLVFGL FP, COEFF 1</t>
  </si>
  <si>
    <t>SCREW H EMB M6X100 L35 AC8 ZNIN3L FP</t>
  </si>
  <si>
    <t>STUD XE ENDUC E M6X100 IM11 L35 E9 AC10 ZLVFGL FP</t>
  </si>
  <si>
    <t>WATER LOOP THERMAL MANAGEMENT MODULE</t>
  </si>
  <si>
    <t>http://docinfogroupe.inetpsa.com/ead/doc/ref.01266_23_00327/v.vc/fiche</t>
  </si>
  <si>
    <t xml:space="preserve">Approved </t>
  </si>
  <si>
    <t>CX-00010929</t>
  </si>
  <si>
    <t>RR WHEEL BUSH HUB</t>
  </si>
  <si>
    <t>LAISON AU SOL</t>
  </si>
  <si>
    <t>9841724580 SCREW % XE SPH30 M14X150 L81 AC10 ZLVFGL, Coeff 4</t>
  </si>
  <si>
    <t>06509153AA SCREW HEX FLG HD M14X1.50X60.00 , Coeff 4</t>
  </si>
  <si>
    <t>SCREW % XE SPH30 M14X150 L81 AC10 ZLVFGL</t>
  </si>
  <si>
    <t>06509153AA</t>
  </si>
  <si>
    <t>SCREW HEX FLG HD M14X1.50X60.00</t>
  </si>
  <si>
    <t>REAR WHEEL BUSH HUB</t>
  </si>
  <si>
    <t>http://docinfogroupe.inetpsa.com/ead/doc/ref.01266_23_00328/v.vc/fiche</t>
  </si>
  <si>
    <t xml:space="preserve">Applicable </t>
  </si>
  <si>
    <t>9830832080 CLIP MAIN DEMON Q8 D28 E3E4,5 METAL PLAS, Coeff 1</t>
  </si>
  <si>
    <t>9641148180 STAPLE MAINT BOUTON DEMONT 6 E20 D16 PLAS, Coeff 1</t>
  </si>
  <si>
    <t>.CLIP MAIN DEMON Q8 D28 E3E4,5 METAL PLAS</t>
  </si>
  <si>
    <t>RR/FRT FINISHER FENDER</t>
  </si>
  <si>
    <t>http://docinfogroupe.inetpsa.com/ead/doc/ref.01266_23_00334/v.vc/fiche</t>
  </si>
  <si>
    <t>STAPLE MAINT BOUTON DEMONT 6E20 D16 PLAS</t>
  </si>
  <si>
    <t xml:space="preserve">REAR FOR LIGHT </t>
  </si>
  <si>
    <t>9675380280 SCREW RLX MTEND 4,5 L19 AC ZNIN3L, Coeff 2 as min</t>
  </si>
  <si>
    <t>SCREW RLX MTEND 4,5 L19 AC ZNIDN3L</t>
  </si>
  <si>
    <t>REAR FOG LIGHT</t>
  </si>
  <si>
    <t>http://docinfogroupe.inetpsa.com/ead/doc/ref.01266_23_00335/v.vc/fiche</t>
  </si>
  <si>
    <t xml:space="preserve">7903233029 NUT K H EMB NETT M6X100 AC8 ZNIA3L, Coeff 4 </t>
  </si>
  <si>
    <t xml:space="preserve">NUT K H EMB NETT M6X100 AC8 ZNIA3L </t>
  </si>
  <si>
    <t>http://docinfogroupe.inetpsa.com/ead/doc/ref.01266_23_00370/v.vc/fiche</t>
  </si>
  <si>
    <t>7903233042 NUT KP EMB M6X100 AC8 ZNIA3L, 9804271080 SCREW CL SOUD ANN M6X100 L40 AC8 CY, Coeff 5</t>
  </si>
  <si>
    <t>SCREW CL SOUD ANN M6X100 L40 AC8 CY</t>
  </si>
  <si>
    <t>http://docinfogroupe.inetpsa.com/ead/doc/ref.01266_23_00371/v.vc/fiche</t>
  </si>
  <si>
    <t>31/04/2024</t>
  </si>
  <si>
    <t>PROTECTEUR FAISCEAU sur Epwt</t>
  </si>
  <si>
    <t>WATER CONNECTOR INLET/OUTLET</t>
  </si>
  <si>
    <t>http://docinfogroupe.inetpsa.com/ead/doc/ref.01266_22_00764/v.vc/fiche</t>
  </si>
  <si>
    <t>CX-00069755</t>
  </si>
  <si>
    <t>CX-00074657</t>
  </si>
  <si>
    <t>CAPTEUR HAUTEUR CAISSE AV ASS</t>
  </si>
  <si>
    <t>BODY HEIGHT SENSOR FRT ASM</t>
  </si>
  <si>
    <t>01266_22_00355</t>
  </si>
  <si>
    <t>ARMATURE SUP PARE-CHOCS AV</t>
  </si>
  <si>
    <t>FRT BUMPER UPR FWK</t>
  </si>
  <si>
    <t>01266_22_00141</t>
  </si>
  <si>
    <t>BOITIER ELECTRONIQUE MULTIFONCTION PROJECTEUR</t>
  </si>
  <si>
    <t>MULTIFUNCTION ELECTRONIC CASE PROJECTOR</t>
  </si>
  <si>
    <t>http://docinfogroupe.inetpsa.com/ead/doc/ref.01266_22_00141/v.vc/fiche</t>
  </si>
  <si>
    <t>CX-00034404</t>
  </si>
  <si>
    <t>01266_23_00459</t>
  </si>
  <si>
    <t>DEFLECTEUR AIR PARE-BOUE AV</t>
  </si>
  <si>
    <t>FRT DEFLECTOR AIR MUD DEFLECTOR</t>
  </si>
  <si>
    <t>9622267180 SCREW K CBLX RPL MTEND 6 L25 AC ZNIDN3L Coeff 1, Torque VNT C4%15</t>
  </si>
  <si>
    <t>SCREW K CBLX RPL MTEND 6 L25 AC ZNIDN3L</t>
  </si>
  <si>
    <t>CX-00057603</t>
  </si>
  <si>
    <t>http://docinfogroupe.inetpsa.com/ead/doc/ref.01266_23_00459/v.vc/fiche</t>
  </si>
  <si>
    <t>01266_23_00457</t>
  </si>
  <si>
    <t>REFROIDISSEUR CENTRAL BATTERIE TRACTION</t>
  </si>
  <si>
    <t>BATTERY COOLING CENTRAL PLATE</t>
  </si>
  <si>
    <t>9671588080 NUT H RPL NETT M6X100 AC8 ZNIA3L, 9803779080 SCREW CL SOUD ANN M6X100 L20 AC8 FP, coeff 6, torque : VSB C8%15</t>
  </si>
  <si>
    <t>http://docinfogroupe.inetpsa.com/ead/doc/ref.01266_23_00457/v.vc/fiche</t>
  </si>
  <si>
    <t>CX-00070214</t>
  </si>
  <si>
    <t>SCREW CL SOUD ANN M6X100 L20 AC8 FP</t>
  </si>
  <si>
    <t>01266_23_00458</t>
  </si>
  <si>
    <t>01266_23_00453</t>
  </si>
  <si>
    <t>ROTULE INF PIVOT</t>
  </si>
  <si>
    <t>INF PIVOT BALL</t>
  </si>
  <si>
    <t>9683683380 NUT % H EMB M M14X150 AC10 FF</t>
  </si>
  <si>
    <t>NUT % H EMB FREIN M M14X150 AC10 FF</t>
  </si>
  <si>
    <t>http://docinfogroupe.inetpsa.com/ead/doc/ref.01266_23_00453/v.vc/fiche</t>
  </si>
  <si>
    <t>CX-00068057</t>
  </si>
  <si>
    <t>01266_23_00454</t>
  </si>
  <si>
    <t>TRAPPE RADAR</t>
  </si>
  <si>
    <t>RADAR HATCH</t>
  </si>
  <si>
    <t>SUPPORT PLANCHE DE BORD</t>
  </si>
  <si>
    <t>DASHBOARD SUPPORT</t>
  </si>
  <si>
    <t>9852195080 SCREW RLX M4X070 L16 AC8 TRILOB ZNIDA3L C, Coeff 23</t>
  </si>
  <si>
    <t>SCREW RLX M4X070 L16 AC8 TRILOB ZNIDA3L C</t>
  </si>
  <si>
    <t>http://docinfogroupe.inetpsa.com/ead/doc/ref.01266_23_00458/v.vc/fiche</t>
  </si>
  <si>
    <t>CX-00055437</t>
  </si>
  <si>
    <t>01266_23_00456</t>
  </si>
  <si>
    <t>FAISCEAU INTERNE BAT VERROUILLAGE AR</t>
  </si>
  <si>
    <t>HARNESS INSIDE BATTERY INTERLOCK BACK</t>
  </si>
  <si>
    <t>9822751380 SCREW H EMB M6X100 L20 AC8 ZLVFGL FP, Coeff 8</t>
  </si>
  <si>
    <t>http://docinfogroupe.inetpsa.com/ead/doc/ref.01266_23_00456/v.vc/fiche</t>
  </si>
  <si>
    <t>CX-00069783</t>
  </si>
  <si>
    <t>01266_19_00817</t>
  </si>
  <si>
    <t>BOITIER JONCTION HAUTE TENSION AR INTERNE</t>
  </si>
  <si>
    <t>REAR JUNCTION BOX HIGH VOLTAGE</t>
  </si>
  <si>
    <t>For Nouhayla</t>
  </si>
  <si>
    <t>For Layla</t>
  </si>
  <si>
    <t>DEFLECTEUR CENTRAL SAC GONFLABLE</t>
  </si>
  <si>
    <t>LASHING EYES</t>
  </si>
  <si>
    <t>FRAMELESS DOOR GLASS MOBILE</t>
  </si>
  <si>
    <t xml:space="preserve">  P1C</t>
  </si>
  <si>
    <t xml:space="preserve"> REAR GAS SPRING</t>
  </si>
  <si>
    <t>JOINT SUR PORTE</t>
  </si>
  <si>
    <t xml:space="preserve"> RR WHEEL BUSH HUB</t>
  </si>
  <si>
    <t>MOYEU ROULEMENT ROUE AR</t>
  </si>
  <si>
    <t>ARMATURE COUSSIN</t>
  </si>
  <si>
    <t>CUSHION FWK</t>
  </si>
  <si>
    <t>SUPPORT CONNECTEUR</t>
  </si>
  <si>
    <t>CONNECTOR SUPPORT</t>
  </si>
  <si>
    <t>BRIN BOUCLE AVANT</t>
  </si>
  <si>
    <t>FRONT BELT BUCKLE</t>
  </si>
  <si>
    <t>K2C</t>
  </si>
  <si>
    <t>SAC GONFLABLE LATERAL DOSSIER ASSISE CONDUCTEUR</t>
  </si>
  <si>
    <t>SIDE AIRBAG BACKREST DRIVER SEATING</t>
  </si>
  <si>
    <t>FRONT ARMATURE BUMPER</t>
  </si>
  <si>
    <t>ARMATURE CENTRALE PARE-CHOC AV</t>
  </si>
  <si>
    <t xml:space="preserve"> REAR SUSPENSION SPRING LOWER CUP FOR MULTILINK</t>
  </si>
  <si>
    <t>FRT BUMPER - FRONT END</t>
  </si>
  <si>
    <t>Pare choc AV - Support lateral (D&amp;G)</t>
  </si>
  <si>
    <t>FRT Bumper - Side support (L&amp;R)</t>
  </si>
  <si>
    <t>FACIA PANEL CENT LOUDSPEAKER</t>
  </si>
  <si>
    <t>Fixing cold part exhaust on hot part</t>
  </si>
  <si>
    <t>Ligne echappement partie froide sur partie chaude</t>
  </si>
  <si>
    <t xml:space="preserve">PROTECTEUR SOUS MOTEUR </t>
  </si>
  <si>
    <t>UNDER ENGINE PROT</t>
  </si>
  <si>
    <t>CHARGEUR DISQUE COMPACT</t>
  </si>
  <si>
    <t>COMPACT DISC LOADER</t>
  </si>
  <si>
    <t>STEERING COLUMN LOCK</t>
  </si>
  <si>
    <t>SUPPORT BATTERIE</t>
  </si>
  <si>
    <t>ELECTRICAL CONTROL BOX MOTORCYCLE FAN GROUP</t>
  </si>
  <si>
    <t>COMBINE PLANCHE DE BORD ENS</t>
  </si>
  <si>
    <t>FACIA PANEL ENS CLUSTER</t>
  </si>
  <si>
    <t>SPEED CONTROL CABLE SHEATH STOP  CMP &amp; EMP2</t>
  </si>
  <si>
    <t>SUPPORT GAUCHE MOTEUR ELECTRIQUE</t>
  </si>
  <si>
    <t>LEFT ELECTRIC ENGINE BRACKET</t>
  </si>
  <si>
    <t xml:space="preserve">ELEMENT ELASTIQUE DE SUSPENSION GMP (BIELLETTE ANTICOUPLE) </t>
  </si>
  <si>
    <t xml:space="preserve"> SONDE LIGNE D'ECHAPPEMENT</t>
  </si>
  <si>
    <t>EXHAUST LINE PROBES</t>
  </si>
  <si>
    <t>YES</t>
  </si>
  <si>
    <t>ENSEMBLE DE SUSPENSION AVANT TRIANGULAIRE</t>
  </si>
  <si>
    <t>FRT WISHBONE SUSPENSION ENS</t>
  </si>
  <si>
    <t xml:space="preserve"> REEL SUPPORT SEAT BEAT B PILLAR  </t>
  </si>
  <si>
    <t>PROTECTEUR DISQUE AV</t>
  </si>
  <si>
    <t>FRONT DISC PROTECTOR</t>
  </si>
  <si>
    <t>B41</t>
  </si>
  <si>
    <t>MANIVELLE LEVE VITRE PORTE LVM</t>
  </si>
  <si>
    <t>DOOR GLASS LIFT LEVER</t>
  </si>
  <si>
    <t>RR DOOR END STOP</t>
  </si>
  <si>
    <t>GUIDE COULISSE PORTE AV/AR</t>
  </si>
  <si>
    <t>FRT/RR DOOR CHANNEL GUIDE</t>
  </si>
  <si>
    <t>JOINT PORTE</t>
  </si>
  <si>
    <t>BODY MOUNTED SEAL</t>
  </si>
  <si>
    <t>ENSEMBLE SERRURE PORTE</t>
  </si>
  <si>
    <t>DOOR LATCH SET</t>
  </si>
  <si>
    <t>LECHEUR EXT VITRE PORTE</t>
  </si>
  <si>
    <t>HIDDEN OUTER WAIST BELT</t>
  </si>
  <si>
    <t xml:space="preserve">BUTEE DE CAPOT </t>
  </si>
  <si>
    <t>BOITIER ELECTRONIQUE SAC GONFLABLE</t>
  </si>
  <si>
    <t>AIRBAG ELECTRONIC UNIT</t>
  </si>
  <si>
    <t>GARNITURE CUSTODE</t>
  </si>
  <si>
    <t>QUARTER GLASS TRIM</t>
  </si>
  <si>
    <t xml:space="preserve">VITRE CUSTODE </t>
  </si>
  <si>
    <t>QUARTER SLASS</t>
  </si>
  <si>
    <t xml:space="preserve"> FIXING CARPET &amp;  REST PAD ACTIVE IF INTEGRATED </t>
  </si>
  <si>
    <t xml:space="preserve">MODULE PEDALIER FREIN </t>
  </si>
  <si>
    <t xml:space="preserve"> BRAKE PEDAL BOX</t>
  </si>
  <si>
    <t xml:space="preserve">FIXED REAR SHELF TRIM  (SEDAN) </t>
  </si>
  <si>
    <t xml:space="preserve"> FUEL VAPOR ABSORBER</t>
  </si>
  <si>
    <t xml:space="preserve">LEFT ENGINE MOUNT ON SIDE RAIL </t>
  </si>
  <si>
    <t xml:space="preserve"> SUPPORT GMP GAUCHE SUR  BRANCARD </t>
  </si>
  <si>
    <t xml:space="preserve">FIXING FILLER NECK FUEL TANK  </t>
  </si>
  <si>
    <t>FIXATION TUBULURE  RESERVOIRS CARBURANT</t>
  </si>
  <si>
    <t>BLOC HYDRAULIQUE ANTIBLOCAGE ROUE</t>
  </si>
  <si>
    <t>ABS HYDR BLOCK - ANTILOCK BREAK SYSTEM / ELECTRIC STABILITY PROGRAM</t>
  </si>
  <si>
    <t>S2B</t>
  </si>
  <si>
    <t xml:space="preserve"> FUEL PIPING UNDERBODY </t>
  </si>
  <si>
    <t xml:space="preserve">TABLETTE AR - BI-CORP (MOBILE) </t>
  </si>
  <si>
    <t xml:space="preserve">REAR PARCEL SHELF (MOBILE) </t>
  </si>
  <si>
    <t>To be updated</t>
  </si>
  <si>
    <t>to be updated</t>
  </si>
  <si>
    <t>29/02/2022</t>
  </si>
  <si>
    <t>HORN ALARME PREP</t>
  </si>
  <si>
    <t>DITV_ATAT07_0024</t>
  </si>
  <si>
    <t xml:space="preserve">To be updated </t>
  </si>
  <si>
    <t>FRONT BUMPER UPP SUPPORT</t>
  </si>
  <si>
    <t>DMT - VOLTAGE MAINTENANCE DEVICE - CENTRALIZED</t>
  </si>
  <si>
    <t>PANEL RADIATOR SHROUD</t>
  </si>
  <si>
    <t>MOUNTING MOTOR FAN ON RADIATOR</t>
  </si>
  <si>
    <t>SONDE NOX AMONT SUR MOTEUR</t>
  </si>
  <si>
    <t>PROBES NOX UPSTREAM ON ENGINE</t>
  </si>
  <si>
    <t>Current update</t>
  </si>
  <si>
    <t>400list ?
YES/NO/TBC
CANCELED</t>
  </si>
  <si>
    <t>CANCELED</t>
  </si>
  <si>
    <t>TBC</t>
  </si>
  <si>
    <t>NO</t>
  </si>
  <si>
    <t>2 to 4</t>
  </si>
  <si>
    <t>http://docinfogroupe.inetpsa.com/ead/doc/ref.01266_17_00608/v.vc/fiche</t>
  </si>
  <si>
    <t>CX-00015896</t>
  </si>
  <si>
    <t>LVE</t>
  </si>
  <si>
    <t>B13 3116 ?
YES/NO/NA
TBC/CANCELED</t>
  </si>
  <si>
    <t>NA</t>
  </si>
  <si>
    <t>Check 
Responsible</t>
  </si>
  <si>
    <t>Z.ELBOUROUMI</t>
  </si>
  <si>
    <t>Comment</t>
  </si>
  <si>
    <t>LVE Solution</t>
  </si>
  <si>
    <t>NC</t>
  </si>
  <si>
    <t>STAPLE/CLIPS</t>
  </si>
  <si>
    <t>Meeting 06/05</t>
  </si>
  <si>
    <t>LVE CLIP</t>
  </si>
  <si>
    <t>LVE SCREW</t>
  </si>
  <si>
    <t>LVI CLIP</t>
  </si>
  <si>
    <t>NUT FCA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</si>
</sst>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4"/>
      <color theme="1"/>
      <name val="Times New Roman"/>
      <family val="1"/>
    </font>
    <font>
      <b/>
      <sz val="18"/>
      <color rgb="FF000000"/>
      <name val="Calibri"/>
      <family val="2"/>
    </font>
    <font>
      <b/>
      <sz val="10"/>
      <name val="Arial"/>
      <family val="2"/>
    </font>
    <font>
      <sz val="8"/>
      <name val="Times New Roman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1"/>
      <color theme="1"/>
      <name val="Times New Roman"/>
      <family val="2"/>
    </font>
    <font>
      <sz val="10"/>
      <name val="Calibri"/>
      <family val="2"/>
    </font>
    <font>
      <sz val="10"/>
      <color theme="1"/>
      <name val="Arial"/>
      <family val="2"/>
    </font>
    <font>
      <b/>
      <sz val="11"/>
      <color rgb="FF1B365E"/>
      <name val="Calibri"/>
      <family val="2"/>
    </font>
    <font>
      <b/>
      <sz val="20"/>
      <color rgb="FF1B365E"/>
      <name val="Calibri"/>
      <family val="2"/>
    </font>
    <font>
      <u/>
      <sz val="20"/>
      <color indexed="12"/>
      <name val="Arial"/>
      <family val="2"/>
    </font>
    <font>
      <sz val="10"/>
      <color rgb="FFFF0000"/>
      <name val="Calibri"/>
      <family val="2"/>
    </font>
    <font>
      <u/>
      <sz val="10"/>
      <color rgb="FFFF0000"/>
      <name val="Arial"/>
      <family val="2"/>
    </font>
    <font>
      <u/>
      <sz val="10"/>
      <color rgb="FF0070C0"/>
      <name val="Arial"/>
      <family val="2"/>
    </font>
    <font>
      <sz val="10"/>
      <name val="Arial"/>
    </font>
    <font>
      <u/>
      <sz val="10"/>
      <color rgb="FF0000F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" fillId="0" borderId="0"/>
    <xf numFmtId="0" fontId="12" fillId="0" borderId="0"/>
  </cellStyleXfs>
  <cellXfs count="115">
    <xf numFmtId="0" fontId="0" fillId="0" borderId="0" xfId="0"/>
    <xf numFmtId="0" fontId="4" fillId="0" borderId="2" xfId="3" applyBorder="1" applyAlignment="1" applyProtection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vertical="center"/>
    </xf>
    <xf numFmtId="0" fontId="10" fillId="3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1" fillId="0" borderId="2" xfId="7" applyFont="1" applyBorder="1" applyAlignment="1">
      <alignment horizontal="center" vertical="center"/>
    </xf>
    <xf numFmtId="14" fontId="11" fillId="0" borderId="2" xfId="7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4" fontId="11" fillId="0" borderId="2" xfId="0" applyNumberFormat="1" applyFont="1" applyBorder="1" applyAlignment="1">
      <alignment horizontal="center" vertical="center"/>
    </xf>
    <xf numFmtId="0" fontId="4" fillId="7" borderId="2" xfId="3" applyFill="1" applyBorder="1" applyAlignment="1" applyProtection="1">
      <alignment horizontal="center" vertical="center"/>
    </xf>
    <xf numFmtId="0" fontId="11" fillId="7" borderId="2" xfId="7" applyFont="1" applyFill="1" applyBorder="1" applyAlignment="1">
      <alignment vertical="center" wrapText="1"/>
    </xf>
    <xf numFmtId="0" fontId="11" fillId="7" borderId="2" xfId="7" applyFont="1" applyFill="1" applyBorder="1" applyAlignment="1">
      <alignment horizontal="center" vertical="center"/>
    </xf>
    <xf numFmtId="14" fontId="11" fillId="7" borderId="2" xfId="7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11" fillId="0" borderId="2" xfId="7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1" fillId="7" borderId="2" xfId="7" applyFont="1" applyFill="1" applyBorder="1" applyAlignment="1">
      <alignment vertical="center"/>
    </xf>
    <xf numFmtId="0" fontId="11" fillId="6" borderId="2" xfId="7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4" fontId="14" fillId="0" borderId="0" xfId="0" applyNumberFormat="1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/>
    </xf>
    <xf numFmtId="0" fontId="4" fillId="0" borderId="0" xfId="3" applyAlignment="1" applyProtection="1"/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vertical="center" wrapText="1"/>
    </xf>
    <xf numFmtId="0" fontId="11" fillId="0" borderId="0" xfId="0" applyFont="1" applyFill="1" applyAlignment="1">
      <alignment horizontal="center" vertical="center"/>
    </xf>
    <xf numFmtId="0" fontId="14" fillId="5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6" fillId="0" borderId="0" xfId="0" applyFont="1" applyFill="1" applyBorder="1"/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3" applyFont="1" applyAlignment="1" applyProtection="1">
      <alignment vertical="center"/>
    </xf>
    <xf numFmtId="0" fontId="11" fillId="7" borderId="0" xfId="0" applyFont="1" applyFill="1" applyAlignment="1">
      <alignment horizontal="center" vertical="center" wrapText="1"/>
    </xf>
    <xf numFmtId="0" fontId="11" fillId="9" borderId="2" xfId="7" applyFont="1" applyFill="1" applyBorder="1" applyAlignment="1">
      <alignment vertical="center" wrapText="1"/>
    </xf>
    <xf numFmtId="0" fontId="11" fillId="9" borderId="2" xfId="7" applyFont="1" applyFill="1" applyBorder="1" applyAlignment="1">
      <alignment vertical="center"/>
    </xf>
    <xf numFmtId="0" fontId="11" fillId="9" borderId="2" xfId="7" applyFont="1" applyFill="1" applyBorder="1" applyAlignment="1">
      <alignment horizontal="center" vertical="center"/>
    </xf>
    <xf numFmtId="14" fontId="11" fillId="9" borderId="2" xfId="7" applyNumberFormat="1" applyFont="1" applyFill="1" applyBorder="1" applyAlignment="1">
      <alignment horizontal="center" vertical="center"/>
    </xf>
    <xf numFmtId="0" fontId="4" fillId="9" borderId="2" xfId="3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/>
    </xf>
    <xf numFmtId="0" fontId="11" fillId="9" borderId="2" xfId="0" applyFont="1" applyFill="1" applyBorder="1" applyAlignment="1">
      <alignment horizontal="center" vertical="center"/>
    </xf>
    <xf numFmtId="14" fontId="11" fillId="9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vertical="center"/>
    </xf>
    <xf numFmtId="0" fontId="11" fillId="7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11" fillId="11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3" fillId="11" borderId="0" xfId="0" applyFont="1" applyFill="1" applyAlignment="1">
      <alignment vertical="center"/>
    </xf>
    <xf numFmtId="14" fontId="11" fillId="0" borderId="2" xfId="7" applyNumberFormat="1" applyFont="1" applyBorder="1" applyAlignment="1">
      <alignment horizontal="center" vertical="center" wrapText="1"/>
    </xf>
    <xf numFmtId="0" fontId="11" fillId="12" borderId="0" xfId="0" applyFont="1" applyFill="1" applyAlignment="1">
      <alignment vertical="center"/>
    </xf>
    <xf numFmtId="15" fontId="11" fillId="0" borderId="0" xfId="0" applyNumberFormat="1" applyFont="1" applyFill="1" applyAlignment="1">
      <alignment vertical="center"/>
    </xf>
    <xf numFmtId="15" fontId="4" fillId="0" borderId="2" xfId="3" applyNumberFormat="1" applyBorder="1" applyAlignment="1" applyProtection="1">
      <alignment horizontal="center" vertical="center"/>
    </xf>
    <xf numFmtId="15" fontId="11" fillId="0" borderId="2" xfId="7" applyNumberFormat="1" applyFont="1" applyBorder="1" applyAlignment="1">
      <alignment vertical="center"/>
    </xf>
    <xf numFmtId="15" fontId="11" fillId="0" borderId="2" xfId="7" applyNumberFormat="1" applyFont="1" applyBorder="1" applyAlignment="1">
      <alignment horizontal="center" vertical="center"/>
    </xf>
    <xf numFmtId="15" fontId="11" fillId="0" borderId="0" xfId="0" applyNumberFormat="1" applyFont="1" applyFill="1" applyAlignment="1">
      <alignment horizontal="center" vertical="center" wrapText="1"/>
    </xf>
    <xf numFmtId="15" fontId="11" fillId="11" borderId="0" xfId="0" applyNumberFormat="1" applyFont="1" applyFill="1" applyAlignment="1">
      <alignment vertical="center"/>
    </xf>
    <xf numFmtId="0" fontId="13" fillId="5" borderId="0" xfId="0" applyFont="1" applyFill="1" applyAlignment="1">
      <alignment vertical="center"/>
    </xf>
    <xf numFmtId="0" fontId="11" fillId="11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6" borderId="0" xfId="0" applyFont="1" applyFill="1" applyAlignment="1">
      <alignment vertical="center" textRotation="90"/>
    </xf>
    <xf numFmtId="0" fontId="20" fillId="7" borderId="2" xfId="3" applyFont="1" applyFill="1" applyBorder="1" applyAlignment="1" applyProtection="1">
      <alignment horizontal="center" vertical="center"/>
    </xf>
    <xf numFmtId="0" fontId="19" fillId="7" borderId="2" xfId="3" applyFont="1" applyFill="1" applyBorder="1" applyAlignment="1" applyProtection="1">
      <alignment horizontal="center" vertical="center"/>
    </xf>
    <xf numFmtId="0" fontId="11" fillId="10" borderId="2" xfId="7" applyFont="1" applyFill="1" applyBorder="1" applyAlignment="1">
      <alignment vertical="center"/>
    </xf>
    <xf numFmtId="0" fontId="18" fillId="7" borderId="2" xfId="7" applyFont="1" applyFill="1" applyBorder="1" applyAlignment="1">
      <alignment vertical="center" wrapText="1"/>
    </xf>
    <xf numFmtId="0" fontId="13" fillId="7" borderId="2" xfId="0" applyFont="1" applyFill="1" applyBorder="1" applyAlignment="1">
      <alignment vertical="center" wrapText="1"/>
    </xf>
    <xf numFmtId="15" fontId="11" fillId="7" borderId="2" xfId="7" applyNumberFormat="1" applyFont="1" applyFill="1" applyBorder="1" applyAlignment="1">
      <alignment vertical="center" wrapText="1"/>
    </xf>
    <xf numFmtId="0" fontId="13" fillId="7" borderId="2" xfId="7" applyFont="1" applyFill="1" applyBorder="1" applyAlignment="1">
      <alignment vertical="center" wrapText="1"/>
    </xf>
    <xf numFmtId="0" fontId="13" fillId="7" borderId="2" xfId="7" applyFont="1" applyFill="1" applyBorder="1" applyAlignment="1">
      <alignment vertical="center"/>
    </xf>
    <xf numFmtId="0" fontId="11" fillId="7" borderId="0" xfId="0" applyFont="1" applyFill="1" applyAlignment="1">
      <alignment vertical="center" wrapText="1"/>
    </xf>
    <xf numFmtId="0" fontId="4" fillId="13" borderId="2" xfId="3" applyFill="1" applyBorder="1" applyAlignment="1" applyProtection="1">
      <alignment horizontal="center" vertical="center"/>
    </xf>
    <xf numFmtId="0" fontId="11" fillId="13" borderId="2" xfId="7" applyFont="1" applyFill="1" applyBorder="1" applyAlignment="1">
      <alignment vertical="center" wrapText="1"/>
    </xf>
    <xf numFmtId="0" fontId="11" fillId="13" borderId="2" xfId="7" applyFont="1" applyFill="1" applyBorder="1" applyAlignment="1">
      <alignment vertical="center"/>
    </xf>
    <xf numFmtId="0" fontId="11" fillId="13" borderId="2" xfId="7" applyFont="1" applyFill="1" applyBorder="1" applyAlignment="1">
      <alignment horizontal="center" vertical="center"/>
    </xf>
    <xf numFmtId="14" fontId="11" fillId="13" borderId="2" xfId="7" applyNumberFormat="1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4" fillId="12" borderId="2" xfId="3" applyFill="1" applyBorder="1" applyAlignment="1" applyProtection="1">
      <alignment horizontal="center" vertical="center"/>
    </xf>
    <xf numFmtId="0" fontId="4" fillId="6" borderId="2" xfId="3" applyFill="1" applyBorder="1" applyAlignment="1" applyProtection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5" fillId="0" borderId="0" xfId="0" applyFont="1"/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2" fillId="0" borderId="0" xfId="3" applyFont="1" applyFill="1" applyBorder="1" applyAlignment="1" applyProtection="1"/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vertical="center"/>
    </xf>
  </cellXfs>
  <cellStyles count="8">
    <cellStyle name="Hyperlink" xfId="5"/>
    <cellStyle name="Lien hypertexte" xfId="3" builtinId="8"/>
    <cellStyle name="Lien hypertexte 2" xfId="2"/>
    <cellStyle name="Lien hypertexte 2 2" xfId="4"/>
    <cellStyle name="Normal" xfId="0" builtinId="0"/>
    <cellStyle name="Normal 11" xfId="6"/>
    <cellStyle name="Normal 2" xfId="1"/>
    <cellStyle name="Normal 3" xfId="7"/>
  </cellStyles>
  <dxfs count="56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3</xdr:col>
      <xdr:colOff>161925</xdr:colOff>
      <xdr:row>27</xdr:row>
      <xdr:rowOff>28575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7059FC2-66DB-01D9-31C0-6386F9289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3476625"/>
          <a:ext cx="3429000" cy="250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HOCH/RUEC%20CMON%20POFI/MCSF%20livrables/APOQUA/Fichiers%20de%20r&#233;f&#233;rence/01266_19_00373_APOQUA_DETAILLE_Ref_Triplets_PoR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055570/Desktop/APOQUA-MULTIPURPOSE%20VIDEO%20CAMER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266_19_00373/v.vc/propo_01266_19_00373_APOQUA_DETAILLE_Ref_Triplets_Po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au APOQUA TRIPLET"/>
      <sheetName val="Indicateurs"/>
      <sheetName val="Liste "/>
      <sheetName val="catalogue POFI"/>
      <sheetName val="Calcul SP²"/>
      <sheetName val="Lot"/>
    </sheetNames>
    <sheetDataSet>
      <sheetData sheetId="0"/>
      <sheetData sheetId="1">
        <row r="4">
          <cell r="B4" t="str">
            <v>Annulée</v>
          </cell>
        </row>
        <row r="5">
          <cell r="B5" t="str">
            <v>Approuvée</v>
          </cell>
        </row>
        <row r="6">
          <cell r="B6" t="str">
            <v>Applicable</v>
          </cell>
        </row>
        <row r="7">
          <cell r="B7" t="str">
            <v>Non Applicable</v>
          </cell>
        </row>
        <row r="8">
          <cell r="B8" t="str">
            <v>MàJ en cours</v>
          </cell>
        </row>
      </sheetData>
      <sheetData sheetId="2">
        <row r="14">
          <cell r="B14" t="str">
            <v>Vis</v>
          </cell>
        </row>
        <row r="15">
          <cell r="B15" t="str">
            <v>Goujon</v>
          </cell>
        </row>
        <row r="16">
          <cell r="B16" t="str">
            <v>Ecrou</v>
          </cell>
        </row>
        <row r="17">
          <cell r="B17" t="str">
            <v>Taraudage</v>
          </cell>
        </row>
        <row r="18">
          <cell r="B18" t="str">
            <v>Agrafe/clip</v>
          </cell>
        </row>
        <row r="19">
          <cell r="B19" t="str">
            <v>Insert</v>
          </cell>
        </row>
        <row r="20">
          <cell r="B20" t="str">
            <v>Rivet</v>
          </cell>
        </row>
        <row r="21">
          <cell r="B21" t="str">
            <v>Clip intégré</v>
          </cell>
        </row>
        <row r="22">
          <cell r="B22" t="str">
            <v>Collier</v>
          </cell>
        </row>
        <row r="23">
          <cell r="B23" t="str">
            <v>Encliquetable</v>
          </cell>
        </row>
        <row r="24">
          <cell r="B24" t="str">
            <v>Forme</v>
          </cell>
        </row>
        <row r="25">
          <cell r="B25" t="str">
            <v>Autre</v>
          </cell>
        </row>
        <row r="28">
          <cell r="B28" t="str">
            <v>BDL</v>
          </cell>
        </row>
        <row r="29">
          <cell r="B29" t="str">
            <v>LVE</v>
          </cell>
        </row>
        <row r="30">
          <cell r="B30" t="str">
            <v>LVI</v>
          </cell>
        </row>
        <row r="31">
          <cell r="B31" t="str">
            <v>Ferrage</v>
          </cell>
        </row>
        <row r="32">
          <cell r="B32" t="str">
            <v>Sans</v>
          </cell>
        </row>
        <row r="36">
          <cell r="B36" t="str">
            <v>Adaptation moteur &amp; BV</v>
          </cell>
        </row>
        <row r="37">
          <cell r="B37" t="str">
            <v>Moteur &amp; BV</v>
          </cell>
        </row>
        <row r="38">
          <cell r="B38" t="str">
            <v>Liaison au sol</v>
          </cell>
        </row>
        <row r="39">
          <cell r="B39" t="str">
            <v>Faisceaux et boitiers EE</v>
          </cell>
        </row>
        <row r="40">
          <cell r="B40" t="str">
            <v>Face AV &amp; capot</v>
          </cell>
        </row>
        <row r="41">
          <cell r="B41" t="str">
            <v>Face AR &amp; volet</v>
          </cell>
        </row>
        <row r="42">
          <cell r="B42" t="str">
            <v>Face latérale &amp; portes</v>
          </cell>
        </row>
        <row r="43">
          <cell r="B43" t="str">
            <v>Toit et garniture pavillon</v>
          </cell>
        </row>
        <row r="44">
          <cell r="B44" t="str">
            <v>Sous caisse</v>
          </cell>
        </row>
        <row r="45">
          <cell r="B45" t="str">
            <v>Poste de conduite et console</v>
          </cell>
        </row>
        <row r="46">
          <cell r="B46" t="str">
            <v>Sièges et moyens de retenu</v>
          </cell>
        </row>
        <row r="47">
          <cell r="B47" t="str">
            <v>Garnissage intérieur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"/>
      <sheetName val="1) Modifications"/>
      <sheetName val="2) Inventory"/>
      <sheetName val="3) New referential"/>
      <sheetName val="4) Validation fitted parts"/>
      <sheetName val="5) Validation Receiving part"/>
      <sheetName val="6)Entête"/>
      <sheetName val="7)Poro calculation"/>
      <sheetName val="8)Base PFR"/>
      <sheetName val="List"/>
      <sheetName val="DecoupageP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8">
          <cell r="C8" t="str">
            <v>16/05/2019</v>
          </cell>
        </row>
        <row r="11">
          <cell r="C11" t="str">
            <v>01266_19_00211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au fiches APOQUA"/>
      <sheetName val="Indicateurs"/>
      <sheetName val="Liste "/>
      <sheetName val="catalogue POFI"/>
      <sheetName val="DecoupagePSA"/>
      <sheetName val="Table APOQUA files"/>
      <sheetName val="Notice"/>
      <sheetName val="Calcul SP²"/>
      <sheetName val="Lot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to copy</v>
          </cell>
        </row>
        <row r="2">
          <cell r="B2"/>
        </row>
        <row r="3">
          <cell r="B3" t="str">
            <v>Reference</v>
          </cell>
        </row>
        <row r="4">
          <cell r="B4" t="str">
            <v>01266_10_00734</v>
          </cell>
        </row>
        <row r="5">
          <cell r="B5" t="str">
            <v>01266_12_00151</v>
          </cell>
        </row>
        <row r="6">
          <cell r="B6" t="str">
            <v>01266_13_00326</v>
          </cell>
        </row>
        <row r="7">
          <cell r="B7" t="str">
            <v>01266_17_00696</v>
          </cell>
        </row>
        <row r="8">
          <cell r="B8" t="str">
            <v>01266_19_00600</v>
          </cell>
        </row>
        <row r="9">
          <cell r="B9" t="str">
            <v>01266_19_00602</v>
          </cell>
        </row>
        <row r="10">
          <cell r="B10" t="str">
            <v>01266_19_00604</v>
          </cell>
        </row>
        <row r="11">
          <cell r="B11" t="str">
            <v>01266_19_00606</v>
          </cell>
        </row>
        <row r="12">
          <cell r="B12" t="str">
            <v>01266_22_00522</v>
          </cell>
        </row>
        <row r="13">
          <cell r="B13" t="str">
            <v>DITV_ATAT07_0009</v>
          </cell>
        </row>
        <row r="14">
          <cell r="B14" t="str">
            <v>DITV_ATAT07_0045</v>
          </cell>
        </row>
        <row r="15">
          <cell r="B15" t="str">
            <v>DITV_ATAT07_0051</v>
          </cell>
        </row>
        <row r="16">
          <cell r="B16" t="str">
            <v>DITV_ATAT07_0285</v>
          </cell>
        </row>
        <row r="17">
          <cell r="B17" t="str">
            <v>DPTA_DMOV05_0956</v>
          </cell>
        </row>
        <row r="18">
          <cell r="B18" t="str">
            <v>DPTA_DMOV05_0968</v>
          </cell>
        </row>
        <row r="19">
          <cell r="B19" t="str">
            <v>DPTA_DMOV06_0053</v>
          </cell>
        </row>
        <row r="20">
          <cell r="B20" t="str">
            <v>DPTA_DMOV06_0110</v>
          </cell>
        </row>
        <row r="21">
          <cell r="B21" t="str">
            <v>DPTA_DMOV06_0151</v>
          </cell>
        </row>
        <row r="22">
          <cell r="B22" t="str">
            <v>01266_22_00761</v>
          </cell>
        </row>
        <row r="23">
          <cell r="B23" t="str">
            <v>01266_22_00762</v>
          </cell>
        </row>
        <row r="24">
          <cell r="B24" t="str">
            <v>01266_22_00514</v>
          </cell>
        </row>
        <row r="25">
          <cell r="B25" t="str">
            <v>01266_22_00513</v>
          </cell>
        </row>
        <row r="26">
          <cell r="B26" t="str">
            <v>01266_23_00137</v>
          </cell>
        </row>
        <row r="27">
          <cell r="B27" t="str">
            <v>01266_22_00518</v>
          </cell>
        </row>
        <row r="28">
          <cell r="B28" t="str">
            <v>01266_22_00759</v>
          </cell>
        </row>
        <row r="29">
          <cell r="B29" t="str">
            <v>01266_22_00760</v>
          </cell>
        </row>
        <row r="30">
          <cell r="B30" t="str">
            <v>01266_22_00765</v>
          </cell>
        </row>
        <row r="31">
          <cell r="B31" t="str">
            <v>01266_23_00140</v>
          </cell>
        </row>
        <row r="32">
          <cell r="B32" t="str">
            <v>01266_23_00185</v>
          </cell>
        </row>
        <row r="33">
          <cell r="B33" t="str">
            <v>01266_23_00186</v>
          </cell>
        </row>
        <row r="34">
          <cell r="B34" t="str">
            <v>01266_23_00190</v>
          </cell>
        </row>
        <row r="35">
          <cell r="B35" t="str">
            <v>01266_23_00193</v>
          </cell>
        </row>
        <row r="36">
          <cell r="B36" t="str">
            <v>01266_22_00509</v>
          </cell>
        </row>
        <row r="37">
          <cell r="B37" t="str">
            <v>01266_22_00139</v>
          </cell>
        </row>
        <row r="38">
          <cell r="B38" t="str">
            <v>01266_23_00189</v>
          </cell>
        </row>
        <row r="39">
          <cell r="B39" t="str">
            <v>DPTA_DMOV06_0075</v>
          </cell>
        </row>
        <row r="40">
          <cell r="B40" t="str">
            <v>DPTA_DMOV06_0168</v>
          </cell>
        </row>
        <row r="41">
          <cell r="B41" t="str">
            <v>01266_22_00528</v>
          </cell>
        </row>
        <row r="42">
          <cell r="B42" t="str">
            <v>01266_10_01548</v>
          </cell>
        </row>
        <row r="43">
          <cell r="B43" t="str">
            <v>01266_22_00510</v>
          </cell>
        </row>
        <row r="44">
          <cell r="B44" t="str">
            <v>01266_22_00526</v>
          </cell>
        </row>
        <row r="45">
          <cell r="B45" t="str">
            <v>01266_22_00527</v>
          </cell>
        </row>
        <row r="46">
          <cell r="B46" t="str">
            <v>01266_22_00511</v>
          </cell>
        </row>
        <row r="47">
          <cell r="B47" t="str">
            <v>01266_09_00156</v>
          </cell>
        </row>
        <row r="48">
          <cell r="B48" t="str">
            <v>01266_18_00948</v>
          </cell>
        </row>
        <row r="49">
          <cell r="B49" t="str">
            <v>01266_22_00529</v>
          </cell>
        </row>
        <row r="50">
          <cell r="B50" t="str">
            <v>01266_20_00215</v>
          </cell>
        </row>
        <row r="51">
          <cell r="B51" t="str">
            <v>01266_23_00187</v>
          </cell>
        </row>
        <row r="52">
          <cell r="B52" t="str">
            <v>01266_18_01165</v>
          </cell>
        </row>
        <row r="53">
          <cell r="B53" t="str">
            <v>01266_16_00110</v>
          </cell>
        </row>
        <row r="54">
          <cell r="B54" t="str">
            <v>01266_10_00632</v>
          </cell>
        </row>
        <row r="55">
          <cell r="B55" t="str">
            <v>01266_22_00349</v>
          </cell>
        </row>
        <row r="56">
          <cell r="B56" t="str">
            <v>01266_10_00643</v>
          </cell>
        </row>
        <row r="57">
          <cell r="B57" t="str">
            <v>01266_11_00285</v>
          </cell>
        </row>
        <row r="58">
          <cell r="B58" t="str">
            <v>01266_22_00515</v>
          </cell>
        </row>
        <row r="59">
          <cell r="B59" t="str">
            <v>01266_15_00670</v>
          </cell>
        </row>
        <row r="60">
          <cell r="B60" t="str">
            <v>01266_19_00845</v>
          </cell>
        </row>
        <row r="61">
          <cell r="B61" t="str">
            <v>01266_22_00351</v>
          </cell>
        </row>
        <row r="62">
          <cell r="B62" t="str">
            <v>01266_22_00530</v>
          </cell>
        </row>
        <row r="63">
          <cell r="B63" t="str">
            <v>01266_22_00352</v>
          </cell>
        </row>
        <row r="64">
          <cell r="B64" t="str">
            <v>01266_09_00147</v>
          </cell>
        </row>
        <row r="65">
          <cell r="B65" t="str">
            <v>DPTA_DMOV06_0100</v>
          </cell>
        </row>
        <row r="66">
          <cell r="B66" t="str">
            <v>01266_22_00766</v>
          </cell>
        </row>
        <row r="67">
          <cell r="B67" t="str">
            <v>01266_22_00520</v>
          </cell>
        </row>
        <row r="68">
          <cell r="B68" t="str">
            <v>01266_22_00531</v>
          </cell>
        </row>
        <row r="69">
          <cell r="B69" t="str">
            <v>DPTA_DMOV06_0082</v>
          </cell>
        </row>
        <row r="70">
          <cell r="B70" t="str">
            <v>DITV_ATAT07_0079</v>
          </cell>
        </row>
        <row r="71">
          <cell r="B71" t="str">
            <v>01266_22_00002</v>
          </cell>
        </row>
        <row r="72">
          <cell r="B72" t="str">
            <v>01266_22_00359</v>
          </cell>
        </row>
        <row r="73">
          <cell r="B73" t="str">
            <v>DITV_ATAT07_0258</v>
          </cell>
        </row>
        <row r="74">
          <cell r="B74" t="str">
            <v>DPTA_DMOV06_0014</v>
          </cell>
        </row>
        <row r="75">
          <cell r="B75" t="str">
            <v>01266_11_00203</v>
          </cell>
        </row>
        <row r="76">
          <cell r="B76" t="str">
            <v>DPTA_DMOV06_0006</v>
          </cell>
        </row>
        <row r="77">
          <cell r="B77" t="str">
            <v>01266_17_01389</v>
          </cell>
        </row>
        <row r="78">
          <cell r="B78" t="str">
            <v>DPTA_DMOV06_0081</v>
          </cell>
        </row>
        <row r="79">
          <cell r="B79" t="str">
            <v>01266_22_00521</v>
          </cell>
        </row>
        <row r="80">
          <cell r="B80" t="str">
            <v>DITV_ATAT07_0037</v>
          </cell>
        </row>
        <row r="81">
          <cell r="B81" t="str">
            <v>DPTA_DMOV06_0016</v>
          </cell>
        </row>
        <row r="82">
          <cell r="B82" t="str">
            <v>DITV_ATAT07_0061</v>
          </cell>
        </row>
        <row r="83">
          <cell r="B83" t="str">
            <v>01266_11_00202</v>
          </cell>
        </row>
        <row r="84">
          <cell r="B84" t="str">
            <v>01266_22_00524</v>
          </cell>
        </row>
        <row r="85">
          <cell r="B85" t="str">
            <v>01266_23_00142</v>
          </cell>
        </row>
        <row r="86">
          <cell r="B86" t="str">
            <v>01266_22_00758</v>
          </cell>
        </row>
        <row r="87">
          <cell r="B87" t="str">
            <v>01266_22_00512</v>
          </cell>
        </row>
        <row r="88">
          <cell r="B88" t="str">
            <v>01266_23_00188</v>
          </cell>
        </row>
        <row r="89">
          <cell r="B89" t="str">
            <v>01266_23_00191</v>
          </cell>
        </row>
        <row r="90">
          <cell r="B90" t="str">
            <v>01266_23_00141</v>
          </cell>
        </row>
        <row r="91">
          <cell r="B91" t="str">
            <v>01266_10_00735</v>
          </cell>
        </row>
        <row r="92">
          <cell r="B92" t="str">
            <v>01266_23_00192</v>
          </cell>
        </row>
        <row r="93">
          <cell r="B93" t="str">
            <v>01266_22_00764</v>
          </cell>
        </row>
        <row r="94">
          <cell r="B94" t="str">
            <v>01266_11_02185</v>
          </cell>
        </row>
        <row r="95">
          <cell r="B95" t="str">
            <v>01266_09_00155</v>
          </cell>
        </row>
        <row r="96">
          <cell r="B96" t="str">
            <v>01266_10_00199</v>
          </cell>
        </row>
        <row r="97">
          <cell r="B97" t="str">
            <v>01266_10_00645</v>
          </cell>
        </row>
        <row r="98">
          <cell r="B98" t="str">
            <v>01266_10_00732</v>
          </cell>
        </row>
        <row r="99">
          <cell r="B99" t="str">
            <v>01266_10_01499</v>
          </cell>
        </row>
        <row r="100">
          <cell r="B100" t="str">
            <v>01266_10_01610</v>
          </cell>
        </row>
        <row r="101">
          <cell r="B101" t="str">
            <v>01266_11_01943</v>
          </cell>
        </row>
        <row r="102">
          <cell r="B102" t="str">
            <v>01266_12_00280</v>
          </cell>
        </row>
        <row r="103">
          <cell r="B103" t="str">
            <v>01266_12_00448</v>
          </cell>
        </row>
        <row r="104">
          <cell r="B104" t="str">
            <v>01266_12_00789</v>
          </cell>
        </row>
        <row r="105">
          <cell r="B105" t="str">
            <v>01266_13_00135</v>
          </cell>
        </row>
        <row r="106">
          <cell r="B106" t="str">
            <v>01266_13_00605</v>
          </cell>
        </row>
        <row r="107">
          <cell r="B107" t="str">
            <v>01266_13_00628</v>
          </cell>
        </row>
        <row r="108">
          <cell r="B108" t="str">
            <v>01266_13_01124</v>
          </cell>
        </row>
        <row r="109">
          <cell r="B109" t="str">
            <v>01266_14_01080</v>
          </cell>
        </row>
        <row r="110">
          <cell r="B110" t="str">
            <v>01266_14_01081</v>
          </cell>
        </row>
        <row r="111">
          <cell r="B111" t="str">
            <v>01266_22_00427</v>
          </cell>
        </row>
        <row r="112">
          <cell r="B112" t="str">
            <v>01266_22_00516</v>
          </cell>
        </row>
        <row r="113">
          <cell r="B113" t="str">
            <v>01266_22_00519</v>
          </cell>
        </row>
        <row r="114">
          <cell r="B114" t="str">
            <v>01266_22_00523</v>
          </cell>
        </row>
        <row r="115">
          <cell r="B115" t="str">
            <v>CMON_IMV08_0404</v>
          </cell>
        </row>
        <row r="116">
          <cell r="B116" t="str">
            <v>CMON_IMV08_0406</v>
          </cell>
        </row>
        <row r="117">
          <cell r="B117" t="str">
            <v>DITV_ATAT07_0018</v>
          </cell>
        </row>
        <row r="118">
          <cell r="B118" t="str">
            <v>DITV_ATAT07_0025</v>
          </cell>
        </row>
        <row r="119">
          <cell r="B119" t="str">
            <v>DITV_ATAT07_0026</v>
          </cell>
        </row>
        <row r="120">
          <cell r="B120" t="str">
            <v>DITV_ATAT07_0031</v>
          </cell>
        </row>
        <row r="121">
          <cell r="B121" t="str">
            <v>DITV_ATAT07_0034</v>
          </cell>
        </row>
        <row r="122">
          <cell r="B122" t="str">
            <v>DITV_ATAT07_0039</v>
          </cell>
        </row>
        <row r="123">
          <cell r="B123" t="str">
            <v>DITV_ATAT07_0044</v>
          </cell>
        </row>
        <row r="124">
          <cell r="B124" t="str">
            <v>DITV_ATAT07_0052</v>
          </cell>
        </row>
        <row r="125">
          <cell r="B125" t="str">
            <v>DITV_ATAT07_0078</v>
          </cell>
        </row>
        <row r="126">
          <cell r="B126" t="str">
            <v>DITV_ATAT07_0085</v>
          </cell>
        </row>
        <row r="127">
          <cell r="B127" t="str">
            <v>DITV_ATAT07_0087</v>
          </cell>
        </row>
        <row r="128">
          <cell r="B128" t="str">
            <v>DITV_ATAT07_0104</v>
          </cell>
        </row>
        <row r="129">
          <cell r="B129" t="str">
            <v>DITV_ATAT07_0105</v>
          </cell>
        </row>
        <row r="130">
          <cell r="B130" t="str">
            <v>DITV_ATAT07_0107</v>
          </cell>
        </row>
        <row r="131">
          <cell r="B131" t="str">
            <v>DITV_ATAT07_0128</v>
          </cell>
        </row>
        <row r="132">
          <cell r="B132" t="str">
            <v>DITV_ATAT07_0132</v>
          </cell>
        </row>
        <row r="133">
          <cell r="B133" t="str">
            <v>DITV_ATAT07_0167</v>
          </cell>
        </row>
        <row r="134">
          <cell r="B134" t="str">
            <v>DITV_ATAT07_0169</v>
          </cell>
        </row>
        <row r="135">
          <cell r="B135" t="str">
            <v>DITV_ATAT07_0170</v>
          </cell>
        </row>
        <row r="136">
          <cell r="B136" t="str">
            <v>DITV_ATAT07_0174</v>
          </cell>
        </row>
        <row r="137">
          <cell r="B137" t="str">
            <v>DITV_ATAT07_0180</v>
          </cell>
        </row>
        <row r="138">
          <cell r="B138" t="str">
            <v>DITV_ATAT07_0187</v>
          </cell>
        </row>
        <row r="139">
          <cell r="B139" t="str">
            <v>DITV_ATAT07_0204</v>
          </cell>
        </row>
        <row r="140">
          <cell r="B140" t="str">
            <v>DITV_ATAT07_0206</v>
          </cell>
        </row>
        <row r="141">
          <cell r="B141" t="str">
            <v>DITV_ATAT07_0210</v>
          </cell>
        </row>
        <row r="142">
          <cell r="B142" t="str">
            <v>DITV_ATAT07_0224</v>
          </cell>
        </row>
        <row r="143">
          <cell r="B143" t="str">
            <v>DITV_ATAT07_0231</v>
          </cell>
        </row>
        <row r="144">
          <cell r="B144" t="str">
            <v>DITV_ATAT07_0241</v>
          </cell>
        </row>
        <row r="145">
          <cell r="B145" t="str">
            <v>DITV_ATAT07_0243</v>
          </cell>
        </row>
        <row r="146">
          <cell r="B146" t="str">
            <v>DITV_ATAT07_0244</v>
          </cell>
        </row>
        <row r="147">
          <cell r="B147" t="str">
            <v>DITV_ATAT07_0257</v>
          </cell>
        </row>
        <row r="148">
          <cell r="B148" t="str">
            <v>DITV_ATAT07_0278</v>
          </cell>
        </row>
        <row r="149">
          <cell r="B149" t="str">
            <v>DITV_ATAT07_0290</v>
          </cell>
        </row>
        <row r="150">
          <cell r="B150" t="str">
            <v>DITV_ATAT07_0294</v>
          </cell>
        </row>
        <row r="151">
          <cell r="B151" t="str">
            <v>DITV_ATAT08_0019</v>
          </cell>
        </row>
        <row r="152">
          <cell r="B152" t="str">
            <v>DMOV_STRP06_1449</v>
          </cell>
        </row>
        <row r="153">
          <cell r="B153" t="str">
            <v>DPTA_DMOV05_0938</v>
          </cell>
        </row>
        <row r="154">
          <cell r="B154" t="str">
            <v>DPTA_DMOV05_0942</v>
          </cell>
        </row>
        <row r="155">
          <cell r="B155" t="str">
            <v>DPTA_DMOV05_0966</v>
          </cell>
        </row>
        <row r="156">
          <cell r="B156" t="str">
            <v>DPTA_DMOV05_0980</v>
          </cell>
        </row>
        <row r="157">
          <cell r="B157" t="str">
            <v>DPTA_DMOV05_0997</v>
          </cell>
        </row>
        <row r="158">
          <cell r="B158" t="str">
            <v>DPTA_DMOV05_1000</v>
          </cell>
        </row>
        <row r="159">
          <cell r="B159" t="str">
            <v>DPTA_DMOV05_1004</v>
          </cell>
        </row>
        <row r="160">
          <cell r="B160" t="str">
            <v>DPTA_DMOV05_1013</v>
          </cell>
        </row>
        <row r="161">
          <cell r="B161" t="str">
            <v>DPTA_DMOV05_1017</v>
          </cell>
        </row>
        <row r="162">
          <cell r="B162" t="str">
            <v>DPTA_DMOV06_0022</v>
          </cell>
        </row>
        <row r="163">
          <cell r="B163" t="str">
            <v>DPTA_DMOV06_0032</v>
          </cell>
        </row>
        <row r="164">
          <cell r="B164" t="str">
            <v>DPTA_DMOV06_0047</v>
          </cell>
        </row>
        <row r="165">
          <cell r="B165" t="str">
            <v>DPTA_DMOV06_0087</v>
          </cell>
        </row>
        <row r="166">
          <cell r="B166" t="str">
            <v>DPTA_DMOV06_0116</v>
          </cell>
        </row>
        <row r="167">
          <cell r="B167" t="str">
            <v>DPTA_DMOV06_0123</v>
          </cell>
        </row>
        <row r="168">
          <cell r="B168" t="str">
            <v>DPTA_DMOV06_0125</v>
          </cell>
        </row>
        <row r="169">
          <cell r="B169" t="str">
            <v>DPTA_DMOV06_0144</v>
          </cell>
        </row>
        <row r="170">
          <cell r="B170" t="str">
            <v>DPTA_DMOV06_0153</v>
          </cell>
        </row>
        <row r="171">
          <cell r="B171" t="str">
            <v>DPTA_DMOV06_0154</v>
          </cell>
        </row>
        <row r="172">
          <cell r="B172" t="str">
            <v>DPTA_DMOV06_0158</v>
          </cell>
        </row>
        <row r="173">
          <cell r="B173" t="str">
            <v>DPTA_DMOV06_0161</v>
          </cell>
        </row>
        <row r="174">
          <cell r="B174" t="str">
            <v>DPTA_DMOV06_0170</v>
          </cell>
        </row>
        <row r="175">
          <cell r="B175" t="str">
            <v>DPTA_DMOV06_0197</v>
          </cell>
        </row>
        <row r="176">
          <cell r="B176" t="str">
            <v>DPTA_DMOV06_0212</v>
          </cell>
        </row>
        <row r="177">
          <cell r="B177" t="str">
            <v>DPTA_DMOV06_0214</v>
          </cell>
        </row>
        <row r="178">
          <cell r="B178" t="str">
            <v>DPTA_DMOV06_0215</v>
          </cell>
        </row>
        <row r="179">
          <cell r="B179" t="str">
            <v>DPTA_DMOV06_0219</v>
          </cell>
        </row>
        <row r="180">
          <cell r="B180" t="str">
            <v>DPTA_DMOV06_0235</v>
          </cell>
        </row>
        <row r="181">
          <cell r="B181" t="str">
            <v>DPTA_DMOV06_0237</v>
          </cell>
        </row>
        <row r="182">
          <cell r="B182" t="str">
            <v>DPTA_DMOV06_0239</v>
          </cell>
        </row>
        <row r="183">
          <cell r="B183" t="str">
            <v>DTI_DPMO07_0080</v>
          </cell>
        </row>
        <row r="184">
          <cell r="B184" t="str">
            <v>01266_09_00299</v>
          </cell>
        </row>
        <row r="185">
          <cell r="B185" t="str">
            <v>01266_10_00634</v>
          </cell>
        </row>
        <row r="186">
          <cell r="B186" t="str">
            <v>01266_10_00636</v>
          </cell>
        </row>
        <row r="187">
          <cell r="B187" t="str">
            <v>01266_10_00642</v>
          </cell>
        </row>
        <row r="188">
          <cell r="B188" t="str">
            <v>01266_10_00644</v>
          </cell>
        </row>
        <row r="189">
          <cell r="B189" t="str">
            <v>01266_10_00736</v>
          </cell>
        </row>
        <row r="190">
          <cell r="B190" t="str">
            <v>01266_10_00744</v>
          </cell>
        </row>
        <row r="191">
          <cell r="B191" t="str">
            <v>01266_10_01125</v>
          </cell>
        </row>
        <row r="192">
          <cell r="B192" t="str">
            <v>01266_10_01789</v>
          </cell>
        </row>
        <row r="193">
          <cell r="B193" t="str">
            <v>01266_11_00381</v>
          </cell>
        </row>
        <row r="194">
          <cell r="B194" t="str">
            <v>01266_11_00413</v>
          </cell>
        </row>
        <row r="195">
          <cell r="B195" t="str">
            <v>01266_11_02100</v>
          </cell>
        </row>
        <row r="196">
          <cell r="B196" t="str">
            <v>01266_12_00209</v>
          </cell>
        </row>
        <row r="197">
          <cell r="B197" t="str">
            <v>01266_12_00210</v>
          </cell>
        </row>
        <row r="198">
          <cell r="B198" t="str">
            <v>01266_12_00327</v>
          </cell>
        </row>
        <row r="199">
          <cell r="B199" t="str">
            <v>01266_12_00386</v>
          </cell>
        </row>
        <row r="200">
          <cell r="B200" t="str">
            <v>01266_12_00407</v>
          </cell>
        </row>
        <row r="201">
          <cell r="B201" t="str">
            <v>01266_12_00871</v>
          </cell>
        </row>
        <row r="202">
          <cell r="B202" t="str">
            <v>01266_12_00993</v>
          </cell>
        </row>
        <row r="203">
          <cell r="B203" t="str">
            <v>01266_13_00240</v>
          </cell>
        </row>
        <row r="204">
          <cell r="B204" t="str">
            <v>01266_13_00289</v>
          </cell>
        </row>
        <row r="205">
          <cell r="B205" t="str">
            <v>01266_13_00325</v>
          </cell>
        </row>
        <row r="206">
          <cell r="B206" t="str">
            <v>01266_13_00991</v>
          </cell>
        </row>
        <row r="207">
          <cell r="B207" t="str">
            <v>01266_14_00963</v>
          </cell>
        </row>
        <row r="208">
          <cell r="B208" t="str">
            <v>01266_14_01086</v>
          </cell>
        </row>
        <row r="209">
          <cell r="B209" t="str">
            <v>01266_15_00738</v>
          </cell>
        </row>
        <row r="210">
          <cell r="B210" t="str">
            <v>01266_15_00980</v>
          </cell>
        </row>
        <row r="211">
          <cell r="B211" t="str">
            <v>01266_16_00102</v>
          </cell>
        </row>
        <row r="212">
          <cell r="B212" t="str">
            <v>01266_16_00242</v>
          </cell>
        </row>
        <row r="213">
          <cell r="B213" t="str">
            <v>01266_16_00351</v>
          </cell>
        </row>
        <row r="214">
          <cell r="B214" t="str">
            <v>01266_16_00639</v>
          </cell>
        </row>
        <row r="215">
          <cell r="B215" t="str">
            <v>01266_16_00647</v>
          </cell>
        </row>
        <row r="216">
          <cell r="B216" t="str">
            <v>01266_16_00706</v>
          </cell>
        </row>
        <row r="217">
          <cell r="B217" t="str">
            <v>01266_16_00711</v>
          </cell>
        </row>
        <row r="218">
          <cell r="B218" t="str">
            <v>01266_16_00712</v>
          </cell>
        </row>
        <row r="219">
          <cell r="B219" t="str">
            <v>01266_16_00801</v>
          </cell>
        </row>
        <row r="220">
          <cell r="B220" t="str">
            <v>01266_16_00840</v>
          </cell>
        </row>
        <row r="221">
          <cell r="B221" t="str">
            <v>01266_16_01515</v>
          </cell>
        </row>
        <row r="222">
          <cell r="B222" t="str">
            <v>01266_16_01594</v>
          </cell>
        </row>
        <row r="223">
          <cell r="B223" t="str">
            <v>01266_17_00136</v>
          </cell>
        </row>
        <row r="224">
          <cell r="B224" t="str">
            <v>01266_17_00404</v>
          </cell>
        </row>
        <row r="225">
          <cell r="B225" t="str">
            <v>01266_17_00608</v>
          </cell>
        </row>
        <row r="226">
          <cell r="B226" t="str">
            <v>01266_17_01054</v>
          </cell>
        </row>
        <row r="227">
          <cell r="B227" t="str">
            <v>01266_17_01156</v>
          </cell>
        </row>
        <row r="228">
          <cell r="B228" t="str">
            <v xml:space="preserve">01266_17_01167 </v>
          </cell>
        </row>
        <row r="229">
          <cell r="B229" t="str">
            <v xml:space="preserve">01266_18_00258 </v>
          </cell>
        </row>
        <row r="230">
          <cell r="B230" t="str">
            <v>01266_18_00836</v>
          </cell>
        </row>
        <row r="231">
          <cell r="B231" t="str">
            <v>01266_18_00903</v>
          </cell>
        </row>
        <row r="232">
          <cell r="B232" t="str">
            <v>01266_18_00948 </v>
          </cell>
        </row>
        <row r="233">
          <cell r="B233" t="str">
            <v>01266_18_01133</v>
          </cell>
        </row>
        <row r="234">
          <cell r="B234" t="str">
            <v>01266_18_01134</v>
          </cell>
        </row>
        <row r="235">
          <cell r="B235" t="str">
            <v>01266_18_01135</v>
          </cell>
        </row>
        <row r="236">
          <cell r="B236" t="str">
            <v>01266_18_01160</v>
          </cell>
        </row>
        <row r="237">
          <cell r="B237" t="str">
            <v>01266_19_00103</v>
          </cell>
        </row>
        <row r="238">
          <cell r="B238" t="str">
            <v>01266_19_00169</v>
          </cell>
        </row>
        <row r="239">
          <cell r="B239" t="str">
            <v>01266_19_00170</v>
          </cell>
        </row>
        <row r="240">
          <cell r="B240" t="str">
            <v xml:space="preserve">01266_19_00185 </v>
          </cell>
        </row>
        <row r="241">
          <cell r="B241" t="str">
            <v>01266_19_00211</v>
          </cell>
        </row>
        <row r="242">
          <cell r="B242" t="str">
            <v>01266_19_00212</v>
          </cell>
        </row>
        <row r="243">
          <cell r="B243" t="str">
            <v>01266_19_00213</v>
          </cell>
        </row>
        <row r="244">
          <cell r="B244" t="str">
            <v>01266_19_00278</v>
          </cell>
        </row>
        <row r="245">
          <cell r="B245" t="str">
            <v>01266_19_00349</v>
          </cell>
        </row>
        <row r="246">
          <cell r="B246" t="str">
            <v>01266_19_00351</v>
          </cell>
        </row>
        <row r="247">
          <cell r="B247" t="str">
            <v>01266_19_00407</v>
          </cell>
        </row>
        <row r="248">
          <cell r="B248" t="str">
            <v>01266_19_00408</v>
          </cell>
        </row>
        <row r="249">
          <cell r="B249" t="str">
            <v>01266_19_00460</v>
          </cell>
        </row>
        <row r="250">
          <cell r="B250" t="str">
            <v>01266_19_00461</v>
          </cell>
        </row>
        <row r="251">
          <cell r="B251" t="str">
            <v>01266_19_00463</v>
          </cell>
        </row>
        <row r="252">
          <cell r="B252" t="str">
            <v>01266_19_00536</v>
          </cell>
        </row>
        <row r="253">
          <cell r="B253" t="str">
            <v>01266_19_00537</v>
          </cell>
        </row>
        <row r="254">
          <cell r="B254" t="str">
            <v>01266_19_00538</v>
          </cell>
        </row>
        <row r="255">
          <cell r="B255" t="str">
            <v>01266_19_00539</v>
          </cell>
        </row>
        <row r="256">
          <cell r="B256" t="str">
            <v>01266_19_00540</v>
          </cell>
        </row>
        <row r="257">
          <cell r="B257" t="str">
            <v>01266_19_00598</v>
          </cell>
        </row>
        <row r="258">
          <cell r="B258" t="str">
            <v>01266_19_00599</v>
          </cell>
        </row>
        <row r="259">
          <cell r="B259" t="str">
            <v>01266_19_00601</v>
          </cell>
        </row>
        <row r="260">
          <cell r="B260" t="str">
            <v>01266_19_00603</v>
          </cell>
        </row>
        <row r="261">
          <cell r="B261" t="str">
            <v>01266_19_00605</v>
          </cell>
        </row>
        <row r="262">
          <cell r="B262" t="str">
            <v>01266_19_00775</v>
          </cell>
        </row>
        <row r="263">
          <cell r="B263" t="str">
            <v>01266_19_00776</v>
          </cell>
        </row>
        <row r="264">
          <cell r="B264" t="str">
            <v>01266_19_00778 </v>
          </cell>
        </row>
        <row r="265">
          <cell r="B265" t="str">
            <v>01266_19_00779</v>
          </cell>
        </row>
        <row r="266">
          <cell r="B266" t="str">
            <v>01266_19_00780</v>
          </cell>
        </row>
        <row r="267">
          <cell r="B267" t="str">
            <v>01266_19_00781</v>
          </cell>
        </row>
        <row r="268">
          <cell r="B268" t="str">
            <v>01266_19_00782</v>
          </cell>
        </row>
        <row r="269">
          <cell r="B269" t="str">
            <v>01266_19_00783</v>
          </cell>
        </row>
        <row r="270">
          <cell r="B270" t="str">
            <v>01266_19_00784</v>
          </cell>
        </row>
        <row r="271">
          <cell r="B271" t="str">
            <v>01266_19_00808</v>
          </cell>
        </row>
        <row r="272">
          <cell r="B272" t="str">
            <v>01266_19_00809</v>
          </cell>
        </row>
        <row r="273">
          <cell r="B273" t="str">
            <v>01266_19_00812</v>
          </cell>
        </row>
        <row r="274">
          <cell r="B274" t="str">
            <v>01266_19_00813</v>
          </cell>
        </row>
        <row r="275">
          <cell r="B275" t="str">
            <v>01266_19_00814</v>
          </cell>
        </row>
        <row r="276">
          <cell r="B276" t="str">
            <v>01266_19_00815</v>
          </cell>
        </row>
        <row r="277">
          <cell r="B277" t="str">
            <v>01266_19_00839</v>
          </cell>
        </row>
        <row r="278">
          <cell r="B278" t="str">
            <v xml:space="preserve">01266_19_00840 </v>
          </cell>
        </row>
        <row r="279">
          <cell r="B279" t="str">
            <v>01266_19_00841</v>
          </cell>
        </row>
        <row r="280">
          <cell r="B280" t="str">
            <v>01266_19_00842</v>
          </cell>
        </row>
        <row r="281">
          <cell r="B281" t="str">
            <v>01266_19_00843</v>
          </cell>
        </row>
        <row r="282">
          <cell r="B282" t="str">
            <v>01266_19_00844</v>
          </cell>
        </row>
        <row r="283">
          <cell r="B283" t="str">
            <v>01266_19_00847</v>
          </cell>
        </row>
        <row r="284">
          <cell r="B284" t="str">
            <v>01266_19_00848</v>
          </cell>
        </row>
        <row r="285">
          <cell r="B285" t="str">
            <v>01266_20_00216</v>
          </cell>
        </row>
        <row r="286">
          <cell r="B286" t="str">
            <v>01266_20_00217</v>
          </cell>
        </row>
        <row r="287">
          <cell r="B287" t="str">
            <v>01266_20_00218</v>
          </cell>
        </row>
        <row r="288">
          <cell r="B288" t="str">
            <v>01266_20_00219</v>
          </cell>
        </row>
        <row r="289">
          <cell r="B289" t="str">
            <v>01266_20_00220</v>
          </cell>
        </row>
        <row r="290">
          <cell r="B290" t="str">
            <v>01266_20_00221</v>
          </cell>
        </row>
        <row r="291">
          <cell r="B291" t="str">
            <v>01266_20_00222</v>
          </cell>
        </row>
        <row r="292">
          <cell r="B292" t="str">
            <v>01266_20_00223</v>
          </cell>
        </row>
        <row r="293">
          <cell r="B293" t="str">
            <v>01266_20_00224</v>
          </cell>
        </row>
        <row r="294">
          <cell r="B294" t="str">
            <v>01266_20_00769</v>
          </cell>
        </row>
        <row r="295">
          <cell r="B295" t="str">
            <v xml:space="preserve">01266_20_00770 </v>
          </cell>
        </row>
        <row r="296">
          <cell r="B296" t="str">
            <v>01266_20_00771</v>
          </cell>
        </row>
        <row r="297">
          <cell r="B297" t="str">
            <v>01266_20_00772</v>
          </cell>
        </row>
        <row r="298">
          <cell r="B298" t="str">
            <v>01266_20_00773</v>
          </cell>
        </row>
        <row r="299">
          <cell r="B299" t="str">
            <v xml:space="preserve">01266_20_00774 </v>
          </cell>
        </row>
        <row r="300">
          <cell r="B300" t="str">
            <v>01266_20_00775</v>
          </cell>
        </row>
        <row r="301">
          <cell r="B301" t="str">
            <v>01266_20_00776</v>
          </cell>
        </row>
        <row r="302">
          <cell r="B302" t="str">
            <v>01266_21_00343</v>
          </cell>
        </row>
        <row r="303">
          <cell r="B303" t="str">
            <v>01266_21_00347</v>
          </cell>
        </row>
        <row r="304">
          <cell r="B304" t="str">
            <v>01266_21_00348</v>
          </cell>
        </row>
        <row r="305">
          <cell r="B305" t="str">
            <v>01266_21_00537</v>
          </cell>
        </row>
        <row r="306">
          <cell r="B306" t="str">
            <v>01266_21_00539</v>
          </cell>
        </row>
        <row r="307">
          <cell r="B307" t="str">
            <v>01266_21_00540</v>
          </cell>
        </row>
        <row r="308">
          <cell r="B308" t="str">
            <v>01266_21_00541</v>
          </cell>
        </row>
        <row r="309">
          <cell r="B309" t="str">
            <v>01266_22_00001</v>
          </cell>
        </row>
        <row r="310">
          <cell r="B310" t="str">
            <v>01266_22_00004</v>
          </cell>
        </row>
        <row r="311">
          <cell r="B311" t="str">
            <v>01266_22_00005</v>
          </cell>
        </row>
        <row r="312">
          <cell r="B312" t="str">
            <v>01266_22_00138</v>
          </cell>
        </row>
        <row r="313">
          <cell r="B313" t="str">
            <v>01266_22_00517</v>
          </cell>
        </row>
        <row r="314">
          <cell r="B314" t="str">
            <v>01266_22_00629</v>
          </cell>
        </row>
        <row r="315">
          <cell r="B315" t="str">
            <v>01266_22_00648</v>
          </cell>
        </row>
        <row r="316">
          <cell r="B316" t="str">
            <v>CMON_IMV08_0405</v>
          </cell>
        </row>
        <row r="317">
          <cell r="B317" t="str">
            <v>CMON_IMV08_0411</v>
          </cell>
        </row>
        <row r="318">
          <cell r="B318" t="str">
            <v>CMON_IMV08_0412</v>
          </cell>
        </row>
        <row r="319">
          <cell r="B319" t="str">
            <v>CMON_IMV08_0422</v>
          </cell>
        </row>
        <row r="320">
          <cell r="B320" t="str">
            <v>CMON_MEM08_0266</v>
          </cell>
        </row>
        <row r="321">
          <cell r="B321" t="str">
            <v>DITV ATAT07 0024</v>
          </cell>
        </row>
        <row r="322">
          <cell r="B322" t="str">
            <v>DITV_ATAT07_0010</v>
          </cell>
        </row>
        <row r="323">
          <cell r="B323" t="str">
            <v>DITV_ATAT07_0011</v>
          </cell>
        </row>
        <row r="324">
          <cell r="B324" t="str">
            <v>DITV_ATAT07_0013</v>
          </cell>
        </row>
        <row r="325">
          <cell r="B325" t="str">
            <v>DITV_ATAT07_0014</v>
          </cell>
        </row>
        <row r="326">
          <cell r="B326" t="str">
            <v>DITV_ATAT07_0015</v>
          </cell>
        </row>
        <row r="327">
          <cell r="B327" t="str">
            <v>DITV_ATAT07_0016</v>
          </cell>
        </row>
        <row r="328">
          <cell r="B328" t="str">
            <v>DITV_ATAT07_0017</v>
          </cell>
        </row>
        <row r="329">
          <cell r="B329" t="str">
            <v>DITV_ATAT07_0019</v>
          </cell>
        </row>
        <row r="330">
          <cell r="B330" t="str">
            <v>DITV_ATAT07_0020</v>
          </cell>
        </row>
        <row r="331">
          <cell r="B331" t="str">
            <v>DITV_ATAT07_0023</v>
          </cell>
        </row>
        <row r="332">
          <cell r="B332" t="str">
            <v>DITV_ATAT07_0028</v>
          </cell>
        </row>
        <row r="333">
          <cell r="B333" t="str">
            <v>DITV_ATAT07_0030</v>
          </cell>
        </row>
        <row r="334">
          <cell r="B334" t="str">
            <v>DITV_ATAT07_0033</v>
          </cell>
        </row>
        <row r="335">
          <cell r="B335" t="str">
            <v>DITV_ATAT07_0035</v>
          </cell>
        </row>
        <row r="336">
          <cell r="B336" t="str">
            <v>DITV_ATAT07_0038</v>
          </cell>
        </row>
        <row r="337">
          <cell r="B337" t="str">
            <v>DITV_ATAT07_0041</v>
          </cell>
        </row>
        <row r="338">
          <cell r="B338" t="str">
            <v>DITV_ATAT07_0046</v>
          </cell>
        </row>
        <row r="339">
          <cell r="B339" t="str">
            <v>DITV_ATAT07_0047</v>
          </cell>
        </row>
        <row r="340">
          <cell r="B340" t="str">
            <v>DITV_ATAT07_0053</v>
          </cell>
        </row>
        <row r="341">
          <cell r="B341" t="str">
            <v>DITV_ATAT07_0054</v>
          </cell>
        </row>
        <row r="342">
          <cell r="B342" t="str">
            <v>DITV_ATAT07_0057</v>
          </cell>
        </row>
        <row r="343">
          <cell r="B343" t="str">
            <v>DITV_ATAT07_0058</v>
          </cell>
        </row>
        <row r="344">
          <cell r="B344" t="str">
            <v>DITV_ATAT07_0059</v>
          </cell>
        </row>
        <row r="345">
          <cell r="B345" t="str">
            <v>DITV_ATAT07_0060</v>
          </cell>
        </row>
        <row r="346">
          <cell r="B346" t="str">
            <v>DITV_ATAT07_0065</v>
          </cell>
        </row>
        <row r="347">
          <cell r="B347" t="str">
            <v>DITV_ATAT07_0066</v>
          </cell>
        </row>
        <row r="348">
          <cell r="B348" t="str">
            <v>DITV_ATAT07_0071</v>
          </cell>
        </row>
        <row r="349">
          <cell r="B349" t="str">
            <v>DITV_ATAT07_0072</v>
          </cell>
        </row>
        <row r="350">
          <cell r="B350" t="str">
            <v>DITV_ATAT07_0075</v>
          </cell>
        </row>
        <row r="351">
          <cell r="B351" t="str">
            <v>DITV_ATAT07_0082</v>
          </cell>
        </row>
        <row r="352">
          <cell r="B352" t="str">
            <v>DITV_ATAT07_0083</v>
          </cell>
        </row>
        <row r="353">
          <cell r="B353" t="str">
            <v>DITV_ATAT07_0084</v>
          </cell>
        </row>
        <row r="354">
          <cell r="B354" t="str">
            <v>DITV_ATAT07_0086</v>
          </cell>
        </row>
        <row r="355">
          <cell r="B355" t="str">
            <v>DITV_ATAT07_0088</v>
          </cell>
        </row>
        <row r="356">
          <cell r="B356" t="str">
            <v>DITV_ATAT07_0090</v>
          </cell>
        </row>
        <row r="357">
          <cell r="B357" t="str">
            <v>DITV_ATAT07_0092</v>
          </cell>
        </row>
        <row r="358">
          <cell r="B358" t="str">
            <v>DITV_ATAT07_0093</v>
          </cell>
        </row>
        <row r="359">
          <cell r="B359" t="str">
            <v>DITV_ATAT07_0096</v>
          </cell>
        </row>
        <row r="360">
          <cell r="B360" t="str">
            <v>DITV_ATAT07_0099</v>
          </cell>
        </row>
        <row r="361">
          <cell r="B361" t="str">
            <v>DITV_ATAT07_0101</v>
          </cell>
        </row>
        <row r="362">
          <cell r="B362" t="str">
            <v>DITV_ATAT07_0112</v>
          </cell>
        </row>
        <row r="363">
          <cell r="B363" t="str">
            <v>DITV_ATAT07_0113</v>
          </cell>
        </row>
        <row r="364">
          <cell r="B364" t="str">
            <v>DITV_ATAT07_0115</v>
          </cell>
        </row>
        <row r="365">
          <cell r="B365" t="str">
            <v>DITV_ATAT07_0116</v>
          </cell>
        </row>
        <row r="366">
          <cell r="B366" t="str">
            <v>DITV_ATAT07_0118</v>
          </cell>
        </row>
        <row r="367">
          <cell r="B367" t="str">
            <v>DITV_ATAT07_0121</v>
          </cell>
        </row>
        <row r="368">
          <cell r="B368" t="str">
            <v>DITV_ATAT07_0125</v>
          </cell>
        </row>
        <row r="369">
          <cell r="B369" t="str">
            <v>DITV_ATAT07_0126</v>
          </cell>
        </row>
        <row r="370">
          <cell r="B370" t="str">
            <v>DITV_ATAT07_0127</v>
          </cell>
        </row>
        <row r="371">
          <cell r="B371" t="str">
            <v>DITV_ATAT07_0129</v>
          </cell>
        </row>
        <row r="372">
          <cell r="B372" t="str">
            <v>DITV_ATAT07_0130</v>
          </cell>
        </row>
        <row r="373">
          <cell r="B373" t="str">
            <v>DITV_ATAT07_0140</v>
          </cell>
        </row>
        <row r="374">
          <cell r="B374" t="str">
            <v>DITV_ATAT07_0142</v>
          </cell>
        </row>
        <row r="375">
          <cell r="B375" t="str">
            <v>DITV_ATAT07_0143</v>
          </cell>
        </row>
        <row r="376">
          <cell r="B376" t="str">
            <v>DITV_ATAT07_0149</v>
          </cell>
        </row>
        <row r="377">
          <cell r="B377" t="str">
            <v>DITV_ATAT07_0153</v>
          </cell>
        </row>
        <row r="378">
          <cell r="B378" t="str">
            <v>DITV_ATAT07_0155</v>
          </cell>
        </row>
        <row r="379">
          <cell r="B379" t="str">
            <v>DITV_ATAT07_0157</v>
          </cell>
        </row>
        <row r="380">
          <cell r="B380" t="str">
            <v>DITV_ATAT07_0158</v>
          </cell>
        </row>
        <row r="381">
          <cell r="B381" t="str">
            <v>DITV_ATAT07_0159</v>
          </cell>
        </row>
        <row r="382">
          <cell r="B382" t="str">
            <v>DITV_ATAT07_0161</v>
          </cell>
        </row>
        <row r="383">
          <cell r="B383" t="str">
            <v>DITV_ATAT07_0163</v>
          </cell>
        </row>
        <row r="384">
          <cell r="B384" t="str">
            <v>DITV_ATAT07_0164</v>
          </cell>
        </row>
        <row r="385">
          <cell r="B385" t="str">
            <v>DITV_ATAT07_0166</v>
          </cell>
        </row>
        <row r="386">
          <cell r="B386" t="str">
            <v>DITV_ATAT07_0168</v>
          </cell>
        </row>
        <row r="387">
          <cell r="B387" t="str">
            <v>DITV_ATAT07_0179</v>
          </cell>
        </row>
        <row r="388">
          <cell r="B388" t="str">
            <v>DITV_ATAT07_0181</v>
          </cell>
        </row>
        <row r="389">
          <cell r="B389" t="str">
            <v>DITV_ATAT07_0182</v>
          </cell>
        </row>
        <row r="390">
          <cell r="B390" t="str">
            <v>DITV_ATAT07_0184</v>
          </cell>
        </row>
        <row r="391">
          <cell r="B391" t="str">
            <v>DITV_ATAT07_0192</v>
          </cell>
        </row>
        <row r="392">
          <cell r="B392" t="str">
            <v>DITV_ATAT07_0198</v>
          </cell>
        </row>
        <row r="393">
          <cell r="B393" t="str">
            <v>DITV_ATAT07_0201</v>
          </cell>
        </row>
        <row r="394">
          <cell r="B394" t="str">
            <v>DITV_ATAT07_0202</v>
          </cell>
        </row>
        <row r="395">
          <cell r="B395" t="str">
            <v>DITV_ATAT07_0207</v>
          </cell>
        </row>
        <row r="396">
          <cell r="B396" t="str">
            <v>DITV_ATAT07_0208</v>
          </cell>
        </row>
        <row r="397">
          <cell r="B397" t="str">
            <v>DITV_ATAT07_0213</v>
          </cell>
        </row>
        <row r="398">
          <cell r="B398" t="str">
            <v>DITV_ATAT07_0214</v>
          </cell>
        </row>
        <row r="399">
          <cell r="B399" t="str">
            <v>DITV_ATAT07_0218</v>
          </cell>
        </row>
        <row r="400">
          <cell r="B400" t="str">
            <v>DITV_ATAT07_0219</v>
          </cell>
        </row>
        <row r="401">
          <cell r="B401" t="str">
            <v>DITV_ATAT07_0225</v>
          </cell>
        </row>
        <row r="402">
          <cell r="B402" t="str">
            <v>DITV_ATAT07_0230</v>
          </cell>
        </row>
        <row r="403">
          <cell r="B403" t="str">
            <v>DITV_ATAT07_0237</v>
          </cell>
        </row>
        <row r="404">
          <cell r="B404" t="str">
            <v>DITV_ATAT07_0238</v>
          </cell>
        </row>
        <row r="405">
          <cell r="B405" t="str">
            <v>DITV_ATAT07_0240</v>
          </cell>
        </row>
        <row r="406">
          <cell r="B406" t="str">
            <v>DITV_ATAT07_0245</v>
          </cell>
        </row>
        <row r="407">
          <cell r="B407" t="str">
            <v>DITV_ATAT07_0246</v>
          </cell>
        </row>
        <row r="408">
          <cell r="B408" t="str">
            <v>DITV_ATAT07_0247</v>
          </cell>
        </row>
        <row r="409">
          <cell r="B409" t="str">
            <v>DITV_ATAT07_0256</v>
          </cell>
        </row>
        <row r="410">
          <cell r="B410" t="str">
            <v>DITV_ATAT07_0259</v>
          </cell>
        </row>
        <row r="411">
          <cell r="B411" t="str">
            <v>DITV_ATAT07_0262</v>
          </cell>
        </row>
        <row r="412">
          <cell r="B412" t="str">
            <v>DITV_ATAT07_0265</v>
          </cell>
        </row>
        <row r="413">
          <cell r="B413" t="str">
            <v>DITV_ATAT07_0266</v>
          </cell>
        </row>
        <row r="414">
          <cell r="B414" t="str">
            <v>DITV_ATAT07_0267</v>
          </cell>
        </row>
        <row r="415">
          <cell r="B415" t="str">
            <v>DITV_ATAT07_0268</v>
          </cell>
        </row>
        <row r="416">
          <cell r="B416" t="str">
            <v>DITV_ATAT07_0269</v>
          </cell>
        </row>
        <row r="417">
          <cell r="B417" t="str">
            <v>DITV_ATAT07_0274</v>
          </cell>
        </row>
        <row r="418">
          <cell r="B418" t="str">
            <v>DITV_ATAT07_0276</v>
          </cell>
        </row>
        <row r="419">
          <cell r="B419" t="str">
            <v>DITV_ATAT07_0279</v>
          </cell>
        </row>
        <row r="420">
          <cell r="B420" t="str">
            <v>DITV_ATAT07_0282</v>
          </cell>
        </row>
        <row r="421">
          <cell r="B421" t="str">
            <v>DITV_ATAT07_0289</v>
          </cell>
        </row>
        <row r="422">
          <cell r="B422" t="str">
            <v>DITV_ATAT07_0297</v>
          </cell>
        </row>
        <row r="423">
          <cell r="B423" t="str">
            <v>DITV_ATAT07_0298</v>
          </cell>
        </row>
        <row r="424">
          <cell r="B424" t="str">
            <v>DITV_CMON08_0322</v>
          </cell>
        </row>
        <row r="425">
          <cell r="B425" t="str">
            <v>DITV_CMON08_0585</v>
          </cell>
        </row>
        <row r="426">
          <cell r="B426" t="str">
            <v>DITV_CMON08_0587</v>
          </cell>
        </row>
        <row r="427">
          <cell r="B427" t="str">
            <v>DPMO_DIR07_0008</v>
          </cell>
        </row>
        <row r="428">
          <cell r="B428" t="str">
            <v>DPTA_DMOV05_0955</v>
          </cell>
        </row>
        <row r="429">
          <cell r="B429" t="str">
            <v>DPTA_DMOV05_0964</v>
          </cell>
        </row>
        <row r="430">
          <cell r="B430" t="str">
            <v>DPTA_DMOV05_0998</v>
          </cell>
        </row>
        <row r="431">
          <cell r="B431" t="str">
            <v>DPTA_DMOV05_1002</v>
          </cell>
        </row>
        <row r="432">
          <cell r="B432" t="str">
            <v>DPTA_DMOV05_1016</v>
          </cell>
        </row>
        <row r="433">
          <cell r="B433" t="str">
            <v>DPTA_DMOV05_1018</v>
          </cell>
        </row>
        <row r="434">
          <cell r="B434" t="str">
            <v>DPTA_DMOV06_0009</v>
          </cell>
        </row>
        <row r="435">
          <cell r="B435" t="str">
            <v>DPTA_DMOV06_0013</v>
          </cell>
        </row>
        <row r="436">
          <cell r="B436" t="str">
            <v>DPTA_DMOV06_0015</v>
          </cell>
        </row>
        <row r="437">
          <cell r="B437" t="str">
            <v>DPTA_DMOV06_0041</v>
          </cell>
        </row>
        <row r="438">
          <cell r="B438" t="str">
            <v>DPTA_DMOV06_0055</v>
          </cell>
        </row>
        <row r="439">
          <cell r="B439" t="str">
            <v>DPTA_DMOV06_0067</v>
          </cell>
        </row>
        <row r="440">
          <cell r="B440" t="str">
            <v>DPTA_DMOV06_0074</v>
          </cell>
        </row>
        <row r="441">
          <cell r="B441" t="str">
            <v>DPTA_DMOV06_0088</v>
          </cell>
        </row>
        <row r="442">
          <cell r="B442" t="str">
            <v>DPTA_DMOV06_0095</v>
          </cell>
        </row>
        <row r="443">
          <cell r="B443" t="str">
            <v>DPTA_DMOV06_0096</v>
          </cell>
        </row>
        <row r="444">
          <cell r="B444" t="str">
            <v>DPTA_DMOV06_0097</v>
          </cell>
        </row>
        <row r="445">
          <cell r="B445" t="str">
            <v>DPTA_DMOV06_0098</v>
          </cell>
        </row>
        <row r="446">
          <cell r="B446" t="str">
            <v>DPTA_DMOV06_0103</v>
          </cell>
        </row>
        <row r="447">
          <cell r="B447" t="str">
            <v>DPTA_DMOV06_0109</v>
          </cell>
        </row>
        <row r="448">
          <cell r="B448" t="str">
            <v>DPTA_DMOV06_0111</v>
          </cell>
        </row>
        <row r="449">
          <cell r="B449" t="str">
            <v>DPTA_DMOV06_0112</v>
          </cell>
        </row>
        <row r="450">
          <cell r="B450" t="str">
            <v>DPTA_DMOV06_0114</v>
          </cell>
        </row>
        <row r="451">
          <cell r="B451" t="str">
            <v>DPTA_DMOV06_0115</v>
          </cell>
        </row>
        <row r="452">
          <cell r="B452" t="str">
            <v>DPTA_DMOV06_0117</v>
          </cell>
        </row>
        <row r="453">
          <cell r="B453" t="str">
            <v>DPTA_DMOV06_0119</v>
          </cell>
        </row>
        <row r="454">
          <cell r="B454" t="str">
            <v>DPTA_DMOV06_0120</v>
          </cell>
        </row>
        <row r="455">
          <cell r="B455" t="str">
            <v>DPTA_DMOV06_0122</v>
          </cell>
        </row>
        <row r="456">
          <cell r="B456" t="str">
            <v>DPTA_DMOV06_0124</v>
          </cell>
        </row>
        <row r="457">
          <cell r="B457" t="str">
            <v>DPTA_DMOV06_0129</v>
          </cell>
        </row>
        <row r="458">
          <cell r="B458" t="str">
            <v>DPTA_DMOV06_0130</v>
          </cell>
        </row>
        <row r="459">
          <cell r="B459" t="str">
            <v>DPTA_DMOV06_0132</v>
          </cell>
        </row>
        <row r="460">
          <cell r="B460" t="str">
            <v>DPTA_DMOV06_0134</v>
          </cell>
        </row>
        <row r="461">
          <cell r="B461" t="str">
            <v>DPTA_DMOV06_0135</v>
          </cell>
        </row>
        <row r="462">
          <cell r="B462" t="str">
            <v>DPTA_DMOV06_0136</v>
          </cell>
        </row>
        <row r="463">
          <cell r="B463" t="str">
            <v>DPTA_DMOV06_0139</v>
          </cell>
        </row>
        <row r="464">
          <cell r="B464" t="str">
            <v>DPTA_DMOV06_0140</v>
          </cell>
        </row>
        <row r="465">
          <cell r="B465" t="str">
            <v>DPTA_DMOV06_0145</v>
          </cell>
        </row>
        <row r="466">
          <cell r="B466" t="str">
            <v>DPTA_DMOV06_0147</v>
          </cell>
        </row>
        <row r="467">
          <cell r="B467" t="str">
            <v>DPTA_DMOV06_0148</v>
          </cell>
        </row>
        <row r="468">
          <cell r="B468" t="str">
            <v>DPTA_DMOV06_0149</v>
          </cell>
        </row>
        <row r="469">
          <cell r="B469" t="str">
            <v>DPTA_DMOV06_0150</v>
          </cell>
        </row>
        <row r="470">
          <cell r="B470" t="str">
            <v>DPTA_DMOV06_0152</v>
          </cell>
        </row>
        <row r="471">
          <cell r="B471" t="str">
            <v>DPTA_DMOV06_0160</v>
          </cell>
        </row>
        <row r="472">
          <cell r="B472" t="str">
            <v>DPTA_DMOV06_0163</v>
          </cell>
        </row>
        <row r="473">
          <cell r="B473" t="str">
            <v>DPTA_DMOV06_0164</v>
          </cell>
        </row>
        <row r="474">
          <cell r="B474" t="str">
            <v>DPTA_DMOV06_0171</v>
          </cell>
        </row>
        <row r="475">
          <cell r="B475" t="str">
            <v>DPTA_DMOV06_0174</v>
          </cell>
        </row>
        <row r="476">
          <cell r="B476" t="str">
            <v>DPTA_DMOV06_0175</v>
          </cell>
        </row>
        <row r="477">
          <cell r="B477" t="str">
            <v>DPTA_DMOV06_0181</v>
          </cell>
        </row>
        <row r="478">
          <cell r="B478" t="str">
            <v>DPTA_DMOV06_0184</v>
          </cell>
        </row>
        <row r="479">
          <cell r="B479" t="str">
            <v>DPTA_DMOV06_0186</v>
          </cell>
        </row>
        <row r="480">
          <cell r="B480" t="str">
            <v>DPTA_DMOV06_0188</v>
          </cell>
        </row>
        <row r="481">
          <cell r="B481" t="str">
            <v>DPTA_DMOV06_0189</v>
          </cell>
        </row>
        <row r="482">
          <cell r="B482" t="str">
            <v>DPTA_DMOV06_0195</v>
          </cell>
        </row>
        <row r="483">
          <cell r="B483" t="str">
            <v>DPTA_DMOV06_0198</v>
          </cell>
        </row>
        <row r="484">
          <cell r="B484" t="str">
            <v>DPTA_DMOV06_0200</v>
          </cell>
        </row>
        <row r="485">
          <cell r="B485" t="str">
            <v>DPTA_DMOV06_0206</v>
          </cell>
        </row>
        <row r="486">
          <cell r="B486" t="str">
            <v>DPTA_DMOV06_0211</v>
          </cell>
        </row>
        <row r="487">
          <cell r="B487" t="str">
            <v>DPTA_DMOV06_0220</v>
          </cell>
        </row>
        <row r="488">
          <cell r="B488" t="str">
            <v>DPTA_DMOV06_0222</v>
          </cell>
        </row>
        <row r="489">
          <cell r="B489" t="str">
            <v>DPTA_DMOV06_0238</v>
          </cell>
        </row>
        <row r="490">
          <cell r="B490" t="str">
            <v>DPTA_DMOV06_0242</v>
          </cell>
        </row>
        <row r="491">
          <cell r="B491" t="str">
            <v>DPTA_DMOV06_0244</v>
          </cell>
        </row>
        <row r="492">
          <cell r="B492" t="str">
            <v>DPTA_DMOV06_0245</v>
          </cell>
        </row>
        <row r="493">
          <cell r="B493" t="str">
            <v>01266_10_00635</v>
          </cell>
        </row>
        <row r="494">
          <cell r="B494" t="str">
            <v>01266_10_00637</v>
          </cell>
        </row>
        <row r="495">
          <cell r="B495" t="str">
            <v>01266_10_00731</v>
          </cell>
        </row>
        <row r="496">
          <cell r="B496" t="str">
            <v>01266_10_00733</v>
          </cell>
        </row>
        <row r="497">
          <cell r="B497" t="str">
            <v>01266_10_00737</v>
          </cell>
        </row>
        <row r="498">
          <cell r="B498" t="str">
            <v>01266_10_00738</v>
          </cell>
        </row>
        <row r="499">
          <cell r="B499" t="str">
            <v>01266_10_00742</v>
          </cell>
        </row>
        <row r="500">
          <cell r="B500" t="str">
            <v>01266_10_00743</v>
          </cell>
        </row>
        <row r="501">
          <cell r="B501" t="str">
            <v>01266_12_00440</v>
          </cell>
        </row>
        <row r="502">
          <cell r="B502" t="str">
            <v>01266_13_00824</v>
          </cell>
        </row>
        <row r="503">
          <cell r="B503" t="str">
            <v>01266_14_01085</v>
          </cell>
        </row>
        <row r="504">
          <cell r="B504" t="str">
            <v>CMON_IMV08_0410</v>
          </cell>
        </row>
        <row r="505">
          <cell r="B505" t="str">
            <v>DITV_ATAT07_0012</v>
          </cell>
        </row>
        <row r="506">
          <cell r="B506" t="str">
            <v>DITV_ATAT07_0021</v>
          </cell>
        </row>
        <row r="507">
          <cell r="B507" t="str">
            <v>DITV_ATAT07_0022</v>
          </cell>
        </row>
        <row r="508">
          <cell r="B508" t="str">
            <v>DITV_ATAT07_0027</v>
          </cell>
        </row>
        <row r="509">
          <cell r="B509" t="str">
            <v>DITV_ATAT07_0029</v>
          </cell>
        </row>
        <row r="510">
          <cell r="B510" t="str">
            <v>DITV_ATAT07_0032</v>
          </cell>
        </row>
        <row r="511">
          <cell r="B511" t="str">
            <v>DITV_ATAT07_0040</v>
          </cell>
        </row>
        <row r="512">
          <cell r="B512" t="str">
            <v>DITV_ATAT07_0055</v>
          </cell>
        </row>
        <row r="513">
          <cell r="B513" t="str">
            <v>DITV_ATAT07_0056</v>
          </cell>
        </row>
        <row r="514">
          <cell r="B514" t="str">
            <v>DITV_ATAT07_0062</v>
          </cell>
        </row>
        <row r="515">
          <cell r="B515" t="str">
            <v>DITV_ATAT07_0063</v>
          </cell>
        </row>
        <row r="516">
          <cell r="B516" t="str">
            <v>DITV_ATAT07_0064</v>
          </cell>
        </row>
        <row r="517">
          <cell r="B517" t="str">
            <v>DITV_ATAT07_0068</v>
          </cell>
        </row>
        <row r="518">
          <cell r="B518" t="str">
            <v>DITV_ATAT07_0069</v>
          </cell>
        </row>
        <row r="519">
          <cell r="B519" t="str">
            <v>DITV_ATAT07_0070</v>
          </cell>
        </row>
        <row r="520">
          <cell r="B520" t="str">
            <v>DITV_ATAT07_0073</v>
          </cell>
        </row>
        <row r="521">
          <cell r="B521" t="str">
            <v>DITV_ATAT07_0074</v>
          </cell>
        </row>
        <row r="522">
          <cell r="B522" t="str">
            <v>DITV_ATAT07_0076</v>
          </cell>
        </row>
        <row r="523">
          <cell r="B523" t="str">
            <v>DITV_ATAT07_0080</v>
          </cell>
        </row>
        <row r="524">
          <cell r="B524" t="str">
            <v>DITV_ATAT07_0094</v>
          </cell>
        </row>
        <row r="525">
          <cell r="B525" t="str">
            <v>DITV_ATAT07_0095</v>
          </cell>
        </row>
        <row r="526">
          <cell r="B526" t="str">
            <v>DITV_ATAT07_0103</v>
          </cell>
        </row>
        <row r="527">
          <cell r="B527" t="str">
            <v>DITV_ATAT07_0108</v>
          </cell>
        </row>
        <row r="528">
          <cell r="B528" t="str">
            <v>DITV_ATAT07_0109</v>
          </cell>
        </row>
        <row r="529">
          <cell r="B529" t="str">
            <v>DITV_ATAT07_0110</v>
          </cell>
        </row>
        <row r="530">
          <cell r="B530" t="str">
            <v>DITV_ATAT07_0114</v>
          </cell>
        </row>
        <row r="531">
          <cell r="B531" t="str">
            <v>DITV_ATAT07_0119</v>
          </cell>
        </row>
        <row r="532">
          <cell r="B532" t="str">
            <v>DITV_ATAT07_0120</v>
          </cell>
        </row>
        <row r="533">
          <cell r="B533" t="str">
            <v>DITV_ATAT07_0123</v>
          </cell>
        </row>
        <row r="534">
          <cell r="B534" t="str">
            <v>DITV_ATAT07_0133</v>
          </cell>
        </row>
        <row r="535">
          <cell r="B535" t="str">
            <v>DITV_ATAT07_0134</v>
          </cell>
        </row>
        <row r="536">
          <cell r="B536" t="str">
            <v>DITV_ATAT07_0135</v>
          </cell>
        </row>
        <row r="537">
          <cell r="B537" t="str">
            <v>DITV_ATAT07_0137</v>
          </cell>
        </row>
        <row r="538">
          <cell r="B538" t="str">
            <v>DITV_ATAT07_0141</v>
          </cell>
        </row>
        <row r="539">
          <cell r="B539" t="str">
            <v>DITV_ATAT07_0148</v>
          </cell>
        </row>
        <row r="540">
          <cell r="B540" t="str">
            <v>DITV_ATAT07_0150</v>
          </cell>
        </row>
        <row r="541">
          <cell r="B541" t="str">
            <v>DITV_ATAT07_0156</v>
          </cell>
        </row>
        <row r="542">
          <cell r="B542" t="str">
            <v>DITV_ATAT07_0162</v>
          </cell>
        </row>
        <row r="543">
          <cell r="B543" t="str">
            <v>DITV_ATAT07_0172</v>
          </cell>
        </row>
        <row r="544">
          <cell r="B544" t="str">
            <v>DITV_ATAT07_0173</v>
          </cell>
        </row>
        <row r="545">
          <cell r="B545" t="str">
            <v>DITV_ATAT07_0175</v>
          </cell>
        </row>
        <row r="546">
          <cell r="B546" t="str">
            <v>DITV_ATAT07_0178</v>
          </cell>
        </row>
        <row r="547">
          <cell r="B547" t="str">
            <v>DITV_ATAT07_0183</v>
          </cell>
        </row>
        <row r="548">
          <cell r="B548" t="str">
            <v>DITV_ATAT07_0186</v>
          </cell>
        </row>
        <row r="549">
          <cell r="B549" t="str">
            <v>DITV_ATAT07_0188</v>
          </cell>
        </row>
        <row r="550">
          <cell r="B550" t="str">
            <v>DITV_ATAT07_0190</v>
          </cell>
        </row>
        <row r="551">
          <cell r="B551" t="str">
            <v>DITV_ATAT07_0193</v>
          </cell>
        </row>
        <row r="552">
          <cell r="B552" t="str">
            <v>DITV_ATAT07_0195</v>
          </cell>
        </row>
        <row r="553">
          <cell r="B553" t="str">
            <v>DITV_ATAT07_0196</v>
          </cell>
        </row>
        <row r="554">
          <cell r="B554" t="str">
            <v>DITV_ATAT07_0197</v>
          </cell>
        </row>
        <row r="555">
          <cell r="B555" t="str">
            <v>DITV_ATAT07_0199</v>
          </cell>
        </row>
        <row r="556">
          <cell r="B556" t="str">
            <v>DITV_ATAT07_0200</v>
          </cell>
        </row>
        <row r="557">
          <cell r="B557" t="str">
            <v>DITV_ATAT07_0203</v>
          </cell>
        </row>
        <row r="558">
          <cell r="B558" t="str">
            <v>DITV_ATAT07_0205</v>
          </cell>
        </row>
        <row r="559">
          <cell r="B559" t="str">
            <v>DITV_ATAT07_0211</v>
          </cell>
        </row>
        <row r="560">
          <cell r="B560" t="str">
            <v>DITV_ATAT07_0212</v>
          </cell>
        </row>
        <row r="561">
          <cell r="B561" t="str">
            <v>DITV_ATAT07_0215</v>
          </cell>
        </row>
        <row r="562">
          <cell r="B562" t="str">
            <v>DITV_ATAT07_0226</v>
          </cell>
        </row>
        <row r="563">
          <cell r="B563" t="str">
            <v>DITV_ATAT07_0239</v>
          </cell>
        </row>
        <row r="564">
          <cell r="B564" t="str">
            <v>DITV_ATAT07_0248</v>
          </cell>
        </row>
        <row r="565">
          <cell r="B565" t="str">
            <v>DITV_ATAT07_0255</v>
          </cell>
        </row>
        <row r="566">
          <cell r="B566" t="str">
            <v>DITV_ATAT07_0261</v>
          </cell>
        </row>
        <row r="567">
          <cell r="B567" t="str">
            <v>DITV_ATAT07_0263</v>
          </cell>
        </row>
        <row r="568">
          <cell r="B568" t="str">
            <v>DITV_ATAT07_0280</v>
          </cell>
        </row>
        <row r="569">
          <cell r="B569" t="str">
            <v>DITV_ATAT07_0281</v>
          </cell>
        </row>
        <row r="570">
          <cell r="B570" t="str">
            <v>DITV_ATAT07_0286</v>
          </cell>
        </row>
        <row r="571">
          <cell r="B571" t="str">
            <v>DITV_ATAT07_0287</v>
          </cell>
        </row>
        <row r="572">
          <cell r="B572" t="str">
            <v>DITV_ATAT07_0293</v>
          </cell>
        </row>
        <row r="573">
          <cell r="B573" t="str">
            <v>DITV_ATAT07_0295</v>
          </cell>
        </row>
        <row r="574">
          <cell r="B574" t="str">
            <v>DITV_ATAT07_0296</v>
          </cell>
        </row>
        <row r="575">
          <cell r="B575" t="str">
            <v>DITV_ATAT08_0018</v>
          </cell>
        </row>
        <row r="576">
          <cell r="B576" t="str">
            <v>DITV_ATAT08_0020</v>
          </cell>
        </row>
        <row r="577">
          <cell r="B577" t="str">
            <v>DITV_ATAT08_0021</v>
          </cell>
        </row>
        <row r="578">
          <cell r="B578" t="str">
            <v>DITV_CMON08_0323</v>
          </cell>
        </row>
        <row r="579">
          <cell r="B579" t="str">
            <v>DMOV_STRP06_1458</v>
          </cell>
        </row>
        <row r="580">
          <cell r="B580" t="str">
            <v>DPTA_DMOV05_0937</v>
          </cell>
        </row>
        <row r="581">
          <cell r="B581" t="str">
            <v>DPTA_DMOV05_0963</v>
          </cell>
        </row>
        <row r="582">
          <cell r="B582" t="str">
            <v>DPTA_DMOV05_1003</v>
          </cell>
        </row>
        <row r="583">
          <cell r="B583" t="str">
            <v>DPTA_DMOV06_0066</v>
          </cell>
        </row>
        <row r="584">
          <cell r="B584" t="str">
            <v>DPTA_DMOV06_0113</v>
          </cell>
        </row>
        <row r="585">
          <cell r="B585" t="str">
            <v>DPTA_DMOV06_0131</v>
          </cell>
        </row>
        <row r="586">
          <cell r="B586" t="str">
            <v>DPTA_DMOV06_0138</v>
          </cell>
        </row>
        <row r="587">
          <cell r="B587" t="str">
            <v>DPTA_DMOV06_0165</v>
          </cell>
        </row>
        <row r="588">
          <cell r="B588" t="str">
            <v>DPTA_DMOV06_0169</v>
          </cell>
        </row>
        <row r="589">
          <cell r="B589" t="str">
            <v>DPTA_DMOV06_0187</v>
          </cell>
        </row>
        <row r="590">
          <cell r="B590" t="str">
            <v>DPTA_DMOV06_0190</v>
          </cell>
        </row>
        <row r="591">
          <cell r="B591" t="str">
            <v>DPTA_DMOV06_0191</v>
          </cell>
        </row>
        <row r="592">
          <cell r="B592" t="str">
            <v>DPTA_DMOV06_0192</v>
          </cell>
        </row>
        <row r="593">
          <cell r="B593" t="str">
            <v>DPTA_DMOV06_0199</v>
          </cell>
        </row>
        <row r="594">
          <cell r="B594" t="str">
            <v>DPTA_DMOV06_0204</v>
          </cell>
        </row>
        <row r="595">
          <cell r="B595" t="str">
            <v>DPTA_DMOV06_0209</v>
          </cell>
        </row>
        <row r="596">
          <cell r="B596" t="str">
            <v>DPTA_DMOV06_0213</v>
          </cell>
        </row>
        <row r="597">
          <cell r="B597" t="str">
            <v>DPTA_DMOV06_0221</v>
          </cell>
        </row>
        <row r="598">
          <cell r="B598" t="str">
            <v>DPTA_DMOV06_0240</v>
          </cell>
        </row>
        <row r="599">
          <cell r="B599" t="str">
            <v>DPTA_DMOV06_0243</v>
          </cell>
        </row>
        <row r="600">
          <cell r="B600" t="str">
            <v>DPTA_DMOV06_0246</v>
          </cell>
        </row>
        <row r="601">
          <cell r="B601" t="str">
            <v>DTI_DITV07_0028</v>
          </cell>
        </row>
        <row r="602">
          <cell r="B602" t="str">
            <v>01266_13_00552</v>
          </cell>
        </row>
        <row r="603">
          <cell r="B603" t="str">
            <v>01266_22_00003</v>
          </cell>
        </row>
        <row r="604">
          <cell r="B604" t="str">
            <v>CMON_IMV08_0407</v>
          </cell>
        </row>
        <row r="605">
          <cell r="B605" t="str">
            <v>DITV_ATAT07_0036</v>
          </cell>
        </row>
        <row r="606">
          <cell r="B606" t="str">
            <v>DITV_ATAT07_0235</v>
          </cell>
        </row>
        <row r="607">
          <cell r="B607" t="str">
            <v>01266_22_00763</v>
          </cell>
        </row>
        <row r="608">
          <cell r="B608" t="str">
            <v>01266_10_00745</v>
          </cell>
        </row>
        <row r="609">
          <cell r="B609" t="str">
            <v>01266_10_01772</v>
          </cell>
        </row>
        <row r="610">
          <cell r="B610" t="str">
            <v>01266_10_01773</v>
          </cell>
        </row>
        <row r="611">
          <cell r="B611" t="str">
            <v>01266_11_01492</v>
          </cell>
        </row>
        <row r="612">
          <cell r="B612" t="str">
            <v>01266_22_00525</v>
          </cell>
        </row>
        <row r="613">
          <cell r="B613" t="str">
            <v>DITV_ATAT07_0008</v>
          </cell>
        </row>
        <row r="614">
          <cell r="B614" t="str">
            <v>DITV_ATAT07_0089</v>
          </cell>
        </row>
        <row r="615">
          <cell r="B615" t="str">
            <v>DITV_ATAT07_0284</v>
          </cell>
        </row>
        <row r="616">
          <cell r="B616" t="str">
            <v>DPTA_DMOV06_0172</v>
          </cell>
        </row>
        <row r="617">
          <cell r="B617" t="str">
            <v>DPTA_DMOV06_0207</v>
          </cell>
        </row>
        <row r="618">
          <cell r="B618" t="str">
            <v>01266_22_00538</v>
          </cell>
        </row>
        <row r="619">
          <cell r="B619"/>
        </row>
        <row r="620">
          <cell r="B620"/>
        </row>
        <row r="621">
          <cell r="B621"/>
        </row>
        <row r="622">
          <cell r="B622"/>
        </row>
        <row r="623">
          <cell r="B623"/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ocinfogroupe.inetpsa.com/ead/doc/ref.01266_13_00326/v.vc/fiche" TargetMode="External"/><Relationship Id="rId299" Type="http://schemas.openxmlformats.org/officeDocument/2006/relationships/hyperlink" Target="http://docinfogroupe.inetpsa.com/ead/doc/ref.DITV_ATAT07_0239/v.vc/fiche" TargetMode="External"/><Relationship Id="rId21" Type="http://schemas.openxmlformats.org/officeDocument/2006/relationships/hyperlink" Target="http://docinfogroupe.inetpsa.com/ead/doc/ref.01266_11_00203/v.vc/fiche" TargetMode="External"/><Relationship Id="rId63" Type="http://schemas.openxmlformats.org/officeDocument/2006/relationships/hyperlink" Target="http://docinfogroupe.inetpsa.com/ead/doc/ref.DITV_ATAT07_0118/v.vc/fiche" TargetMode="External"/><Relationship Id="rId159" Type="http://schemas.openxmlformats.org/officeDocument/2006/relationships/hyperlink" Target="http://docinfogroupe.inetpsa.com/ead/doc/ref.01266_12_00209/v.vc/fiche" TargetMode="External"/><Relationship Id="rId324" Type="http://schemas.openxmlformats.org/officeDocument/2006/relationships/hyperlink" Target="http://docinfogroupe.inetpsa.com/ead/doc/ref.01266_12_00440/v.vc/fiche" TargetMode="External"/><Relationship Id="rId366" Type="http://schemas.openxmlformats.org/officeDocument/2006/relationships/hyperlink" Target="http://docinfogroupe.inetpsa.com/ead/doc/ref.01266_10_01773/v.vc/fiche" TargetMode="External"/><Relationship Id="rId531" Type="http://schemas.openxmlformats.org/officeDocument/2006/relationships/hyperlink" Target="http://docinfogroupe.inetpsa.com/ead/doc/ref.01266_19_00540/v.vc/fiche" TargetMode="External"/><Relationship Id="rId573" Type="http://schemas.openxmlformats.org/officeDocument/2006/relationships/hyperlink" Target="http://docinfogroupe.inetpsa.com/ead/doc/ref.01266_23_00137/v.vc/fiche" TargetMode="External"/><Relationship Id="rId629" Type="http://schemas.openxmlformats.org/officeDocument/2006/relationships/printerSettings" Target="../printerSettings/printerSettings1.bin"/><Relationship Id="rId170" Type="http://schemas.openxmlformats.org/officeDocument/2006/relationships/hyperlink" Target="http://docinfogroupe.inetpsa.com/ead/doc/ref.DITV_ATAT07_0215/v.vc/fiche" TargetMode="External"/><Relationship Id="rId226" Type="http://schemas.openxmlformats.org/officeDocument/2006/relationships/hyperlink" Target="http://docinfogroupe.inetpsa.com/ead/doc/ref.DITV_ATAT07_0018/v.vc/fiche" TargetMode="External"/><Relationship Id="rId433" Type="http://schemas.openxmlformats.org/officeDocument/2006/relationships/hyperlink" Target="http://docinfogroupe.inetpsa.com/ead/doc/ref.DPTA_DMOV06_0103/v.vc/fiche" TargetMode="External"/><Relationship Id="rId268" Type="http://schemas.openxmlformats.org/officeDocument/2006/relationships/hyperlink" Target="http://docinfogroupe.inetpsa.com/ead/doc/ref.01266_10_01610/v.vc/fiche" TargetMode="External"/><Relationship Id="rId475" Type="http://schemas.openxmlformats.org/officeDocument/2006/relationships/hyperlink" Target="http://docinfogroupe.inetpsa.com/ead/doc/document_view.action?ref=01266_19_00537&amp;v=vc" TargetMode="External"/><Relationship Id="rId32" Type="http://schemas.openxmlformats.org/officeDocument/2006/relationships/hyperlink" Target="http://docinfogroupe.inetpsa.com/ead/doc/ref.01266_10_00645/v.vc/fiche" TargetMode="External"/><Relationship Id="rId74" Type="http://schemas.openxmlformats.org/officeDocument/2006/relationships/hyperlink" Target="http://docinfogroupe.inetpsa.com/ead/doc/ref.DITV_ATAT07_0248/v.vc/fiche" TargetMode="External"/><Relationship Id="rId128" Type="http://schemas.openxmlformats.org/officeDocument/2006/relationships/hyperlink" Target="http://docinfogroupe.inetpsa.com/ead/doc/ref.DITV_ATAT07_0212/v.vc/fiche" TargetMode="External"/><Relationship Id="rId335" Type="http://schemas.openxmlformats.org/officeDocument/2006/relationships/hyperlink" Target="http://docinfogroupe.inetpsa.com/ead/doc/ref.DITV_ATAT07_0230/v.vc/fiche" TargetMode="External"/><Relationship Id="rId377" Type="http://schemas.openxmlformats.org/officeDocument/2006/relationships/hyperlink" Target="http://docinfogroupe.inetpsa.com/ead/doc/ref.CMON_IMV08_0404/v.vc/fiche" TargetMode="External"/><Relationship Id="rId500" Type="http://schemas.openxmlformats.org/officeDocument/2006/relationships/hyperlink" Target="http://docinfogroupe.inetpsa.com/ead/doc/ref.01266_19_00783/v.vc/fiche" TargetMode="External"/><Relationship Id="rId542" Type="http://schemas.openxmlformats.org/officeDocument/2006/relationships/hyperlink" Target="http://docinfogroupe.inetpsa.com/ead/doc/ref.01266_22_00521/v.vc/fiche" TargetMode="External"/><Relationship Id="rId584" Type="http://schemas.openxmlformats.org/officeDocument/2006/relationships/hyperlink" Target="http://docinfogroupe.inetpsa.com/ead/doc/ref.01266_22_00512/v.vc/fiche" TargetMode="External"/><Relationship Id="rId5" Type="http://schemas.openxmlformats.org/officeDocument/2006/relationships/hyperlink" Target="http://docinfogroupe.inetpsa.com/ead/doc/ref.DPTA_DMOV06_0140/v.vc/fiche" TargetMode="External"/><Relationship Id="rId181" Type="http://schemas.openxmlformats.org/officeDocument/2006/relationships/hyperlink" Target="http://docinfogroupe.inetpsa.com/ead/doc/ref.DITV_ATAT07_0108/v.vc/fiche" TargetMode="External"/><Relationship Id="rId237" Type="http://schemas.openxmlformats.org/officeDocument/2006/relationships/hyperlink" Target="http://docinfogroupe.inetpsa.com/ead/doc/ref.DPTA_DMOV06_0199/v.vc/fiche" TargetMode="External"/><Relationship Id="rId402" Type="http://schemas.openxmlformats.org/officeDocument/2006/relationships/hyperlink" Target="http://docinfogroupe.inetpsa.com/ead/doc/ref.DITV_ATAT07_0278/v.vc/fiche" TargetMode="External"/><Relationship Id="rId279" Type="http://schemas.openxmlformats.org/officeDocument/2006/relationships/hyperlink" Target="http://docinfogroupe.inetpsa.com/ead/doc/ref.DITV_ATAT07_0070/v.vc/fiche" TargetMode="External"/><Relationship Id="rId444" Type="http://schemas.openxmlformats.org/officeDocument/2006/relationships/hyperlink" Target="http://docinfogroupe.inetpsa.com/ead/doc/ref.01266_16_00801/v.vc/fiche" TargetMode="External"/><Relationship Id="rId486" Type="http://schemas.openxmlformats.org/officeDocument/2006/relationships/hyperlink" Target="http://docinfogroupe.inetpsa.com/ead/doc/ref.01266_19_00775/v.vc/fiche" TargetMode="External"/><Relationship Id="rId43" Type="http://schemas.openxmlformats.org/officeDocument/2006/relationships/hyperlink" Target="http://docinfogroupe.inetpsa.com/ead/doc/ref.DITV_ATAT07_0047/v.vc/fiche" TargetMode="External"/><Relationship Id="rId139" Type="http://schemas.openxmlformats.org/officeDocument/2006/relationships/hyperlink" Target="http://docinfogroupe.inetpsa.com/ead/doc/ref.DITV_ATAT07_0052/v.vc/fiche" TargetMode="External"/><Relationship Id="rId290" Type="http://schemas.openxmlformats.org/officeDocument/2006/relationships/hyperlink" Target="http://docinfogroupe.inetpsa.com/ead/doc/ref.DITV_ATAT07_0023/v.vc/fiche" TargetMode="External"/><Relationship Id="rId304" Type="http://schemas.openxmlformats.org/officeDocument/2006/relationships/hyperlink" Target="http://docinfogroupe.inetpsa.com/ead/doc/ref.DITV_ATAT07_0199/v.vc/fiche" TargetMode="External"/><Relationship Id="rId346" Type="http://schemas.openxmlformats.org/officeDocument/2006/relationships/hyperlink" Target="http://docinfogroupe.inetpsa.com/ead/doc/ref.DITV_ATAT07_0016/v.vc/fiche" TargetMode="External"/><Relationship Id="rId388" Type="http://schemas.openxmlformats.org/officeDocument/2006/relationships/hyperlink" Target="http://docinfogroupe.inetpsa.com/ead/doc/ref.DPTA_DMOV05_0963/v.vc/fiche" TargetMode="External"/><Relationship Id="rId511" Type="http://schemas.openxmlformats.org/officeDocument/2006/relationships/hyperlink" Target="http://docinfogroupe.inetpsa.com/ead/doc/ref.01266_19_00839/v.vc/fiche" TargetMode="External"/><Relationship Id="rId553" Type="http://schemas.openxmlformats.org/officeDocument/2006/relationships/hyperlink" Target="http://docinfogroupe.inetpsa.com/ead/doc/ref.01266_22_00005/v.vc/fiche" TargetMode="External"/><Relationship Id="rId609" Type="http://schemas.openxmlformats.org/officeDocument/2006/relationships/hyperlink" Target="http://docinfogroupe.inetpsa.com/ead/doc/ref.01266_23_00327/v.vc/fiche" TargetMode="External"/><Relationship Id="rId85" Type="http://schemas.openxmlformats.org/officeDocument/2006/relationships/hyperlink" Target="http://docinfogroupe.inetpsa.com/ead/doc/ref.DITV_ATAT07_0168/v.vc/fiche" TargetMode="External"/><Relationship Id="rId150" Type="http://schemas.openxmlformats.org/officeDocument/2006/relationships/hyperlink" Target="http://docinfogroupe.inetpsa.com/ead/doc/ref.DPTA_DMOV06_0053/v.vc/fiche" TargetMode="External"/><Relationship Id="rId192" Type="http://schemas.openxmlformats.org/officeDocument/2006/relationships/hyperlink" Target="http://docinfogroupe.inetpsa.com/ead/doc/ref.DPTA_DMOV05_0964/v.vc/fiche" TargetMode="External"/><Relationship Id="rId206" Type="http://schemas.openxmlformats.org/officeDocument/2006/relationships/hyperlink" Target="http://docinfogroupe.inetpsa.com/ead/doc/ref.DITV_ATAT08_0018/v.vc/fiche" TargetMode="External"/><Relationship Id="rId413" Type="http://schemas.openxmlformats.org/officeDocument/2006/relationships/hyperlink" Target="http://docinfogroupe.inetpsa.com/ead/doc/ref.01266_13_00289/v.vc/fiche" TargetMode="External"/><Relationship Id="rId595" Type="http://schemas.openxmlformats.org/officeDocument/2006/relationships/hyperlink" Target="http://docinfogroupe.inetpsa.com/ead/doc/ref.01266_23_00391/v.vc/fiche" TargetMode="External"/><Relationship Id="rId248" Type="http://schemas.openxmlformats.org/officeDocument/2006/relationships/hyperlink" Target="http://docinfogroupe.inetpsa.com/ead/doc/ref.DITV_ATAT07_0064/v.vc/fiche" TargetMode="External"/><Relationship Id="rId455" Type="http://schemas.openxmlformats.org/officeDocument/2006/relationships/hyperlink" Target="http://docinfogroupe.inetpsa.com/ead/doc/document_view.action?ref=01266_17_01054&amp;v=vc" TargetMode="External"/><Relationship Id="rId497" Type="http://schemas.openxmlformats.org/officeDocument/2006/relationships/hyperlink" Target="http://docinfogroupe.inetpsa.com/ead/doc/ref.01266_19_00349/v.vc/fiche" TargetMode="External"/><Relationship Id="rId620" Type="http://schemas.openxmlformats.org/officeDocument/2006/relationships/hyperlink" Target="http://docinfogroupe.inetpsa.com/ead/doc/ref.DITV_ATAT07_0079/v.vc/fiche" TargetMode="External"/><Relationship Id="rId12" Type="http://schemas.openxmlformats.org/officeDocument/2006/relationships/hyperlink" Target="http://docinfogroupe.inetpsa.com/ead/doc/ref.DITV_ATAT07_0297/v.vc/fiche" TargetMode="External"/><Relationship Id="rId108" Type="http://schemas.openxmlformats.org/officeDocument/2006/relationships/hyperlink" Target="http://docinfogroupe.inetpsa.com/ead/doc/ref.DITV_ATAT07_0180/v.vc/fiche" TargetMode="External"/><Relationship Id="rId315" Type="http://schemas.openxmlformats.org/officeDocument/2006/relationships/hyperlink" Target="http://docinfogroupe.inetpsa.com/ead/doc/ref.DPTA_DMOV06_0243/v.vc/fiche" TargetMode="External"/><Relationship Id="rId357" Type="http://schemas.openxmlformats.org/officeDocument/2006/relationships/hyperlink" Target="http://docinfogroupe.inetpsa.com/ead/doc/ref.DITV_ATAT07_0008/v.vc/fiche" TargetMode="External"/><Relationship Id="rId522" Type="http://schemas.openxmlformats.org/officeDocument/2006/relationships/hyperlink" Target="http://docinfogroupe.inetpsa.com/ead/doc/ref.01266_20_00223/v.vc/fiche" TargetMode="External"/><Relationship Id="rId54" Type="http://schemas.openxmlformats.org/officeDocument/2006/relationships/hyperlink" Target="http://docinfogroupe.inetpsa.com/ead/doc/ref.DITV_ATAT07_0219/v.vc/fiche" TargetMode="External"/><Relationship Id="rId96" Type="http://schemas.openxmlformats.org/officeDocument/2006/relationships/hyperlink" Target="http://docinfogroupe.inetpsa.com/ead/doc/ref.DITV_ATAT07_0112/v.vc/fiche" TargetMode="External"/><Relationship Id="rId161" Type="http://schemas.openxmlformats.org/officeDocument/2006/relationships/hyperlink" Target="http://docinfogroupe.inetpsa.com/ead/doc/ref.DITV_ATAT07_0115/v.vc/fiche" TargetMode="External"/><Relationship Id="rId217" Type="http://schemas.openxmlformats.org/officeDocument/2006/relationships/hyperlink" Target="http://docinfogroupe.inetpsa.com/ead/doc/ref.DITV_ATAT07_0143/v.vc/fiche" TargetMode="External"/><Relationship Id="rId399" Type="http://schemas.openxmlformats.org/officeDocument/2006/relationships/hyperlink" Target="http://docinfogroupe.inetpsa.com/ead/doc/ref.DPTA_DMOV06_0115/v.vc/fiche" TargetMode="External"/><Relationship Id="rId564" Type="http://schemas.openxmlformats.org/officeDocument/2006/relationships/hyperlink" Target="https://docinfogroupe.stellantis.com/ead/doc/ref.01266_22_00427/v.vc/fiche" TargetMode="External"/><Relationship Id="rId259" Type="http://schemas.openxmlformats.org/officeDocument/2006/relationships/hyperlink" Target="http://docinfogroupe.inetpsa.com/ead/doc/ref.DITV_ATAT07_0169/v.vc/fiche" TargetMode="External"/><Relationship Id="rId424" Type="http://schemas.openxmlformats.org/officeDocument/2006/relationships/hyperlink" Target="http://docinfogroupe.inetpsa.com/ead/doc/ref.DPTA_DMOV06_0014/v.vc/fiche" TargetMode="External"/><Relationship Id="rId466" Type="http://schemas.openxmlformats.org/officeDocument/2006/relationships/hyperlink" Target="http://docinfogroupe.inetpsa.com/ead/doc/ref.01266_18_01134/v.vc/fiche" TargetMode="External"/><Relationship Id="rId23" Type="http://schemas.openxmlformats.org/officeDocument/2006/relationships/hyperlink" Target="http://docinfogroupe.inetpsa.com/ead/doc/ref.01266_11_01492/v.vc/fiche" TargetMode="External"/><Relationship Id="rId119" Type="http://schemas.openxmlformats.org/officeDocument/2006/relationships/hyperlink" Target="http://docinfogroupe.inetpsa.com/ead/doc/ref.DITV_ATAT07_0130/v.vc/fiche" TargetMode="External"/><Relationship Id="rId270" Type="http://schemas.openxmlformats.org/officeDocument/2006/relationships/hyperlink" Target="http://docinfogroupe.inetpsa.com/ead/doc/ref.DPTA_DMOV05_1003/v.vc/fiche" TargetMode="External"/><Relationship Id="rId326" Type="http://schemas.openxmlformats.org/officeDocument/2006/relationships/hyperlink" Target="http://docinfogroupe.inetpsa.com/ead/doc/ref.DITV_ATAT07_0231/v.vc/fiche" TargetMode="External"/><Relationship Id="rId533" Type="http://schemas.openxmlformats.org/officeDocument/2006/relationships/hyperlink" Target="http://docinfogroupe.inetpsa.com/ead/doc/ref.01266_19_00170/v.vc/fiche" TargetMode="External"/><Relationship Id="rId65" Type="http://schemas.openxmlformats.org/officeDocument/2006/relationships/hyperlink" Target="http://docinfogroupe.inetpsa.com/ead/doc/ref.DITV_ATAT07_0123/v.vc/fiche" TargetMode="External"/><Relationship Id="rId130" Type="http://schemas.openxmlformats.org/officeDocument/2006/relationships/hyperlink" Target="http://docinfogroupe.inetpsa.com/ead/doc/ref.DPTA_DMOV06_0164/v.vc/fiche" TargetMode="External"/><Relationship Id="rId368" Type="http://schemas.openxmlformats.org/officeDocument/2006/relationships/hyperlink" Target="http://docinfogroupe.inetpsa.com/ead/doc/ref.01266_09_00155/v.vc/fiche" TargetMode="External"/><Relationship Id="rId575" Type="http://schemas.openxmlformats.org/officeDocument/2006/relationships/hyperlink" Target="http://docinfogroupe.inetpsa.com/ead/doc/ref.01266_22_00766/v.vc/fiche" TargetMode="External"/><Relationship Id="rId172" Type="http://schemas.openxmlformats.org/officeDocument/2006/relationships/hyperlink" Target="http://docinfogroupe.inetpsa.com/ead/doc/ref.DPTA_DMOV06_0122/v.vc/fiche" TargetMode="External"/><Relationship Id="rId228" Type="http://schemas.openxmlformats.org/officeDocument/2006/relationships/hyperlink" Target="http://docinfogroupe.inetpsa.com/ead/doc/ref.DPTA_DMOV06_0110/v.vc/fiche" TargetMode="External"/><Relationship Id="rId435" Type="http://schemas.openxmlformats.org/officeDocument/2006/relationships/hyperlink" Target="http://docinfogroupe.inetpsa.com/ead/doc/ref.DITV_ATAT07_0164/v.vc/fiche" TargetMode="External"/><Relationship Id="rId477" Type="http://schemas.openxmlformats.org/officeDocument/2006/relationships/hyperlink" Target="http://docinfogroupe.inetpsa.com/ead/doc/document_view.action?ref=01266_19_00408&amp;v=vc" TargetMode="External"/><Relationship Id="rId600" Type="http://schemas.openxmlformats.org/officeDocument/2006/relationships/hyperlink" Target="http://docinfogroupe.inetpsa.com/ead/doc/ref.01266_23_00396/v.vc/fiche" TargetMode="External"/><Relationship Id="rId281" Type="http://schemas.openxmlformats.org/officeDocument/2006/relationships/hyperlink" Target="http://docinfogroupe.inetpsa.com/ead/doc/ref.DITV_ATAT07_0201/v.vc/fiche" TargetMode="External"/><Relationship Id="rId337" Type="http://schemas.openxmlformats.org/officeDocument/2006/relationships/hyperlink" Target="http://docinfogroupe.inetpsa.com/ead/doc/ref.DTI_DPMO07_0080/v.vc/fiche" TargetMode="External"/><Relationship Id="rId502" Type="http://schemas.openxmlformats.org/officeDocument/2006/relationships/hyperlink" Target="http://docinfogroupe.inetpsa.com/ead/doc/ref.01266_19_00845/v.vc/fiche" TargetMode="External"/><Relationship Id="rId34" Type="http://schemas.openxmlformats.org/officeDocument/2006/relationships/hyperlink" Target="http://docinfogroupe.inetpsa.com/ead/doc/ref.DITV_ATAT07_0257/v.vc/fiche" TargetMode="External"/><Relationship Id="rId76" Type="http://schemas.openxmlformats.org/officeDocument/2006/relationships/hyperlink" Target="http://docinfogroupe.inetpsa.com/ead/doc/ref.DPTA_DMOV06_0163/v.vc/fiche" TargetMode="External"/><Relationship Id="rId141" Type="http://schemas.openxmlformats.org/officeDocument/2006/relationships/hyperlink" Target="http://docinfogroupe.inetpsa.com/ead/doc/ref.01266_11_00381/v.vc/fiche" TargetMode="External"/><Relationship Id="rId379" Type="http://schemas.openxmlformats.org/officeDocument/2006/relationships/hyperlink" Target="http://docinfogroupe.inetpsa.com/ead/doc/ref.DPTA_DMOV06_0152/v.vc/fiche" TargetMode="External"/><Relationship Id="rId544" Type="http://schemas.openxmlformats.org/officeDocument/2006/relationships/hyperlink" Target="http://docinfogroupe.inetpsa.com/ead/doc/ref.01266_22_00003/v.vc/fiche" TargetMode="External"/><Relationship Id="rId586" Type="http://schemas.openxmlformats.org/officeDocument/2006/relationships/hyperlink" Target="http://docinfogroupe.inetpsa.com/ead/doc/ref.01266_22_00352/v.vc/fiche" TargetMode="External"/><Relationship Id="rId7" Type="http://schemas.openxmlformats.org/officeDocument/2006/relationships/hyperlink" Target="http://docinfogroupe.inetpsa.com/ead/doc/ref.DPTA_DMOV06_0149/v.vc/fiche" TargetMode="External"/><Relationship Id="rId183" Type="http://schemas.openxmlformats.org/officeDocument/2006/relationships/hyperlink" Target="http://docinfogroupe.inetpsa.com/ead/doc/ref.DITV_ATAT07_0029/v.vc/fiche" TargetMode="External"/><Relationship Id="rId239" Type="http://schemas.openxmlformats.org/officeDocument/2006/relationships/hyperlink" Target="http://docinfogroupe.inetpsa.com/ead/doc/ref.DITV_ATAT08_0021/v.vc/fiche" TargetMode="External"/><Relationship Id="rId390" Type="http://schemas.openxmlformats.org/officeDocument/2006/relationships/hyperlink" Target="http://docinfogroupe.inetpsa.com/ead/doc/ref.DITV_ATAT07_0279/v.vc/fiche" TargetMode="External"/><Relationship Id="rId404" Type="http://schemas.openxmlformats.org/officeDocument/2006/relationships/hyperlink" Target="http://docinfogroupe.inetpsa.com/ead/doc/ref.DPTA_DMOV06_0111/v.vc/fiche" TargetMode="External"/><Relationship Id="rId446" Type="http://schemas.openxmlformats.org/officeDocument/2006/relationships/hyperlink" Target="http://docinfogroupe.inetpsa.com/ead/doc/ref.01266_16_00706/v.vc/fiche" TargetMode="External"/><Relationship Id="rId611" Type="http://schemas.openxmlformats.org/officeDocument/2006/relationships/hyperlink" Target="http://docinfogroupe.inetpsa.com/ead/doc/ref.01266_23_00374/v.vc/fiche" TargetMode="External"/><Relationship Id="rId250" Type="http://schemas.openxmlformats.org/officeDocument/2006/relationships/hyperlink" Target="http://docinfogroupe.inetpsa.com/ead/doc/ref.DITV_ATAT07_0265/v.vc/fiche" TargetMode="External"/><Relationship Id="rId292" Type="http://schemas.openxmlformats.org/officeDocument/2006/relationships/hyperlink" Target="http://docinfogroupe.inetpsa.com/ead/doc/ref.DITV_ATAT07_0126/v.vc/fiche" TargetMode="External"/><Relationship Id="rId306" Type="http://schemas.openxmlformats.org/officeDocument/2006/relationships/hyperlink" Target="http://docinfogroupe.inetpsa.com/ead/doc/ref.DITV_ATAT07_0037/v.vc/fiche" TargetMode="External"/><Relationship Id="rId488" Type="http://schemas.openxmlformats.org/officeDocument/2006/relationships/hyperlink" Target="http://docinfogroupe.inetpsa.com/ead/doc/ref.01266_19_00780/v.vc/fiche" TargetMode="External"/><Relationship Id="rId45" Type="http://schemas.openxmlformats.org/officeDocument/2006/relationships/hyperlink" Target="http://docinfogroupe.inetpsa.com/ead/doc/ref.01266_10_00634/v.vc/fiche" TargetMode="External"/><Relationship Id="rId87" Type="http://schemas.openxmlformats.org/officeDocument/2006/relationships/hyperlink" Target="http://docinfogroupe.inetpsa.com/ead/doc/ref.DPTA_DMOV06_0195/v.vc/fiche" TargetMode="External"/><Relationship Id="rId110" Type="http://schemas.openxmlformats.org/officeDocument/2006/relationships/hyperlink" Target="http://docinfogroupe.inetpsa.com/ead/doc/ref.DPTA_DMOV06_0131/v.vc/fiche" TargetMode="External"/><Relationship Id="rId348" Type="http://schemas.openxmlformats.org/officeDocument/2006/relationships/hyperlink" Target="http://docinfogroupe.inetpsa.com/ead/doc/ref.DITV_ATAT07_0034/v.vc/fiche" TargetMode="External"/><Relationship Id="rId513" Type="http://schemas.openxmlformats.org/officeDocument/2006/relationships/hyperlink" Target="http://docinfogroupe.inetpsa.com/ead/doc/ref.01266_20_00774/v.vc/fiche" TargetMode="External"/><Relationship Id="rId555" Type="http://schemas.openxmlformats.org/officeDocument/2006/relationships/hyperlink" Target="http://docinfogroupe.inetpsa.com/ead/doc/ref.01266_22_00531/v.vc/fiche" TargetMode="External"/><Relationship Id="rId597" Type="http://schemas.openxmlformats.org/officeDocument/2006/relationships/hyperlink" Target="http://docinfogroupe.inetpsa.com/ead/doc/ref.01266_23_00393/v.vc/fiche" TargetMode="External"/><Relationship Id="rId152" Type="http://schemas.openxmlformats.org/officeDocument/2006/relationships/hyperlink" Target="http://docinfogroupe.inetpsa.com/ead/doc/ref.DPTA_DMOV06_0125/v.vc/fiche" TargetMode="External"/><Relationship Id="rId194" Type="http://schemas.openxmlformats.org/officeDocument/2006/relationships/hyperlink" Target="http://docinfogroupe.inetpsa.com/ead/doc/ref.DPTA_DMOV06_0095/v.vc/fiche" TargetMode="External"/><Relationship Id="rId208" Type="http://schemas.openxmlformats.org/officeDocument/2006/relationships/hyperlink" Target="http://docinfogroupe.inetpsa.com/ead/doc/ref.DITV_ATAT07_0284/v.vc/fiche" TargetMode="External"/><Relationship Id="rId415" Type="http://schemas.openxmlformats.org/officeDocument/2006/relationships/hyperlink" Target="http://docinfogroupe.inetpsa.com/ead/doc/ref.DPTA_DMOV06_0239/v.vc/fiche" TargetMode="External"/><Relationship Id="rId457" Type="http://schemas.openxmlformats.org/officeDocument/2006/relationships/hyperlink" Target="http://docinfogroupe.inetpsa.com/ead/doc/ref.01266_15_00670/v.vc/fiche" TargetMode="External"/><Relationship Id="rId622" Type="http://schemas.openxmlformats.org/officeDocument/2006/relationships/hyperlink" Target="http://docinfogroupe.inetpsa.com/ead/doc/ref.01266_22_00141/v.vc/fiche" TargetMode="External"/><Relationship Id="rId261" Type="http://schemas.openxmlformats.org/officeDocument/2006/relationships/hyperlink" Target="http://docinfogroupe.inetpsa.com/ead/doc/ref.01266_10_00737/v.vc/fiche" TargetMode="External"/><Relationship Id="rId499" Type="http://schemas.openxmlformats.org/officeDocument/2006/relationships/hyperlink" Target="http://docinfogroupe.inetpsa.com/ead/doc/ref.01266_19_00778/v.vc/fiche" TargetMode="External"/><Relationship Id="rId14" Type="http://schemas.openxmlformats.org/officeDocument/2006/relationships/hyperlink" Target="http://docinfogroupe.inetpsa.com/ead/doc/ref.DPTA_DMOV06_0161/v.vc/fiche" TargetMode="External"/><Relationship Id="rId56" Type="http://schemas.openxmlformats.org/officeDocument/2006/relationships/hyperlink" Target="http://docinfogroupe.inetpsa.com/ead/doc/ref.DITV_ATAT07_0203/v.vc/fiche" TargetMode="External"/><Relationship Id="rId317" Type="http://schemas.openxmlformats.org/officeDocument/2006/relationships/hyperlink" Target="http://docinfogroupe.inetpsa.com/ead/doc/ref.DITV_ATAT07_0076/v.vc/fiche" TargetMode="External"/><Relationship Id="rId359" Type="http://schemas.openxmlformats.org/officeDocument/2006/relationships/hyperlink" Target="http://docinfogroupe.inetpsa.com/ead/doc/ref.DITV_ATAT07_0059/v.vc/fiche" TargetMode="External"/><Relationship Id="rId524" Type="http://schemas.openxmlformats.org/officeDocument/2006/relationships/hyperlink" Target="http://docinfogroupe.inetpsa.com/ead/doc/ref.01266_20_00220/v.vc/fiche" TargetMode="External"/><Relationship Id="rId566" Type="http://schemas.openxmlformats.org/officeDocument/2006/relationships/hyperlink" Target="http://docinfogroupe.inetpsa.com/ead/doc/ref.01266_22_00761/v.vc/fiche" TargetMode="External"/><Relationship Id="rId98" Type="http://schemas.openxmlformats.org/officeDocument/2006/relationships/hyperlink" Target="http://docinfogroupe.inetpsa.com/ead/doc/ref.DITV_ATAT07_0286/v.vc/fiche" TargetMode="External"/><Relationship Id="rId121" Type="http://schemas.openxmlformats.org/officeDocument/2006/relationships/hyperlink" Target="http://docinfogroupe.inetpsa.com/ead/doc/ref.01266_10_01772/v.vc/fiche" TargetMode="External"/><Relationship Id="rId163" Type="http://schemas.openxmlformats.org/officeDocument/2006/relationships/hyperlink" Target="http://docinfogroupe.inetpsa.com/ead/doc/ref.DPTA_DMOV06_0088/v.vc/fiche" TargetMode="External"/><Relationship Id="rId219" Type="http://schemas.openxmlformats.org/officeDocument/2006/relationships/hyperlink" Target="http://docinfogroupe.inetpsa.com/ead/doc/ref.DITV_ATAT07_0224/v.vc/fiche" TargetMode="External"/><Relationship Id="rId370" Type="http://schemas.openxmlformats.org/officeDocument/2006/relationships/hyperlink" Target="http://docinfogroupe.inetpsa.com/ead/doc/ref.DITV_ATAT07_0188/v.vc/fiche" TargetMode="External"/><Relationship Id="rId426" Type="http://schemas.openxmlformats.org/officeDocument/2006/relationships/hyperlink" Target="http://docinfogroupe.inetpsa.com/ead/doc/ref.DPTA_DMOV05_0942/v.vc/fiche" TargetMode="External"/><Relationship Id="rId230" Type="http://schemas.openxmlformats.org/officeDocument/2006/relationships/hyperlink" Target="http://docinfogroupe.inetpsa.com/ead/doc/ref.01266_11_01943/v.vc/fiche" TargetMode="External"/><Relationship Id="rId468" Type="http://schemas.openxmlformats.org/officeDocument/2006/relationships/hyperlink" Target="http://docinfogroupe.inetpsa.com/ead/doc/ref.01266_19_00185/v.vc/fiche" TargetMode="External"/><Relationship Id="rId25" Type="http://schemas.openxmlformats.org/officeDocument/2006/relationships/hyperlink" Target="http://docinfogroupe.inetpsa.com/ead/doc/ref.CMON_MEM08_0266/v.vc/fiche" TargetMode="External"/><Relationship Id="rId67" Type="http://schemas.openxmlformats.org/officeDocument/2006/relationships/hyperlink" Target="http://docinfogroupe.inetpsa.com/ead/doc/ref.DITV_ATAT07_0193/v.vc/fiche" TargetMode="External"/><Relationship Id="rId272" Type="http://schemas.openxmlformats.org/officeDocument/2006/relationships/hyperlink" Target="http://docinfogroupe.inetpsa.com/ead/doc/ref.DITV_ATAT07_0170/v.vc/fiche" TargetMode="External"/><Relationship Id="rId328" Type="http://schemas.openxmlformats.org/officeDocument/2006/relationships/hyperlink" Target="http://docinfogroupe.inetpsa.com/ead/doc/ref.DPTA_DMOV06_0100/v.vc/fiche" TargetMode="External"/><Relationship Id="rId535" Type="http://schemas.openxmlformats.org/officeDocument/2006/relationships/hyperlink" Target="http://docinfogroupe.inetpsa.com/ead/doc/ref.01266_20_00215/v.vc/fiche" TargetMode="External"/><Relationship Id="rId577" Type="http://schemas.openxmlformats.org/officeDocument/2006/relationships/hyperlink" Target="http://docinfogroupe.inetpsa.com/ead/doc/ref.01266_22_00759/v.vc/fiche" TargetMode="External"/><Relationship Id="rId132" Type="http://schemas.openxmlformats.org/officeDocument/2006/relationships/hyperlink" Target="http://docinfogroupe.inetpsa.com/ead/doc/ref.DPTA_DMOV06_0139/v.vc/fiche" TargetMode="External"/><Relationship Id="rId174" Type="http://schemas.openxmlformats.org/officeDocument/2006/relationships/hyperlink" Target="http://docinfogroupe.inetpsa.com/ead/doc/ref.DPTA_DMOV06_0235/v.vc/fiche" TargetMode="External"/><Relationship Id="rId381" Type="http://schemas.openxmlformats.org/officeDocument/2006/relationships/hyperlink" Target="http://docinfogroupe.inetpsa.com/ead/doc/ref.DITV_ATAT07_0184/v.vc/fiche" TargetMode="External"/><Relationship Id="rId602" Type="http://schemas.openxmlformats.org/officeDocument/2006/relationships/hyperlink" Target="http://docinfogroupe.inetpsa.com/ead/doc/ref.01266_23_00336/v.vc/fiche" TargetMode="External"/><Relationship Id="rId241" Type="http://schemas.openxmlformats.org/officeDocument/2006/relationships/hyperlink" Target="http://docinfogroupe.inetpsa.com/ead/doc/ref.DPTA_DMOV06_0214/v.vc/fiche" TargetMode="External"/><Relationship Id="rId437" Type="http://schemas.openxmlformats.org/officeDocument/2006/relationships/hyperlink" Target="http://docinfogroupe.inetpsa.com/ead/doc/document_view.action?ref=01266_16_00242&amp;v=vc" TargetMode="External"/><Relationship Id="rId479" Type="http://schemas.openxmlformats.org/officeDocument/2006/relationships/hyperlink" Target="http://docinfogroupe.inetpsa.com/ead/doc/ref.01266_19_00600/v.vc/fiche" TargetMode="External"/><Relationship Id="rId36" Type="http://schemas.openxmlformats.org/officeDocument/2006/relationships/hyperlink" Target="http://docinfogroupe.inetpsa.com/ead/doc/ref.DPTA_DMOV06_0160/v.vc/fiche" TargetMode="External"/><Relationship Id="rId283" Type="http://schemas.openxmlformats.org/officeDocument/2006/relationships/hyperlink" Target="http://docinfogroupe.inetpsa.com/ead/doc/ref.DITV_ATAT07_0198/v.vc/fiche" TargetMode="External"/><Relationship Id="rId339" Type="http://schemas.openxmlformats.org/officeDocument/2006/relationships/hyperlink" Target="http://docinfogroupe.inetpsa.com/ead/doc/ref.01266_10_00644/v.vc/fiche" TargetMode="External"/><Relationship Id="rId490" Type="http://schemas.openxmlformats.org/officeDocument/2006/relationships/hyperlink" Target="http://docinfogroupe.inetpsa.com/ead/doc/ref.01266_19_00460/v.vc/fiche" TargetMode="External"/><Relationship Id="rId504" Type="http://schemas.openxmlformats.org/officeDocument/2006/relationships/hyperlink" Target="http://docinfogroupe.inetpsa.com/ead/doc/ref.01266_19_00599/v.vc/fiche" TargetMode="External"/><Relationship Id="rId546" Type="http://schemas.openxmlformats.org/officeDocument/2006/relationships/hyperlink" Target="http://docinfogroupe.inetpsa.com/ead/doc/ref.01266_22_00351/v.vc/fiche" TargetMode="External"/><Relationship Id="rId78" Type="http://schemas.openxmlformats.org/officeDocument/2006/relationships/hyperlink" Target="http://docinfogroupe.inetpsa.com/ead/doc/ref.DITV_CMON08_0585/v.vc/fiche" TargetMode="External"/><Relationship Id="rId101" Type="http://schemas.openxmlformats.org/officeDocument/2006/relationships/hyperlink" Target="http://docinfogroupe.inetpsa.com/ead/doc/ref.01266_14_01086/v.vc/fiche" TargetMode="External"/><Relationship Id="rId143" Type="http://schemas.openxmlformats.org/officeDocument/2006/relationships/hyperlink" Target="http://docinfogroupe.inetpsa.com/ead/doc/ref.DPTA_DMOV05_1002/v.vc/fiche" TargetMode="External"/><Relationship Id="rId185" Type="http://schemas.openxmlformats.org/officeDocument/2006/relationships/hyperlink" Target="http://docinfogroupe.inetpsa.com/ead/doc/ref.DITV_ATAT07_0259/v.vc/fiche" TargetMode="External"/><Relationship Id="rId350" Type="http://schemas.openxmlformats.org/officeDocument/2006/relationships/hyperlink" Target="http://docinfogroupe.inetpsa.com/ead/doc/ref.DITV_ATAT07_0290/v.vc/fiche" TargetMode="External"/><Relationship Id="rId406" Type="http://schemas.openxmlformats.org/officeDocument/2006/relationships/hyperlink" Target="http://docinfogroupe.inetpsa.com/ead/doc/ref.DITV_ATAT07_0182/v.vc/fiche" TargetMode="External"/><Relationship Id="rId588" Type="http://schemas.openxmlformats.org/officeDocument/2006/relationships/hyperlink" Target="http://docinfogroupe.inetpsa.com/ead/doc/ref.01266_22_00356/v.vc/fiche" TargetMode="External"/><Relationship Id="rId9" Type="http://schemas.openxmlformats.org/officeDocument/2006/relationships/hyperlink" Target="http://docinfogroupe.inetpsa.com/ead/doc/ref.CMON_IMV08_0411/v.vc/fiche" TargetMode="External"/><Relationship Id="rId210" Type="http://schemas.openxmlformats.org/officeDocument/2006/relationships/hyperlink" Target="http://docinfogroupe.inetpsa.com/ead/doc/ref.DITV_ATAT07_0074/v.vc/fiche" TargetMode="External"/><Relationship Id="rId392" Type="http://schemas.openxmlformats.org/officeDocument/2006/relationships/hyperlink" Target="http://docinfogroupe.inetpsa.com/ead/doc/ref.DITV_ATAT07_0161/v.vc/fiche" TargetMode="External"/><Relationship Id="rId448" Type="http://schemas.openxmlformats.org/officeDocument/2006/relationships/hyperlink" Target="http://docinfogroupe.inetpsa.com/ead/doc/ref.01266_16_01515/v.vc/fiche" TargetMode="External"/><Relationship Id="rId613" Type="http://schemas.openxmlformats.org/officeDocument/2006/relationships/hyperlink" Target="http://docinfogroupe.inetpsa.com/ead/doc/ref.01266_23_00372/v.vc/fiche" TargetMode="External"/><Relationship Id="rId252" Type="http://schemas.openxmlformats.org/officeDocument/2006/relationships/hyperlink" Target="http://docinfogroupe.inetpsa.com/ead/doc/ref.DITV_ATAT07_0274/v.vc/fiche" TargetMode="External"/><Relationship Id="rId294" Type="http://schemas.openxmlformats.org/officeDocument/2006/relationships/hyperlink" Target="http://docinfogroupe.inetpsa.com/ead/doc/ref.DITV_ATAT07_0200/v.vc/fiche" TargetMode="External"/><Relationship Id="rId308" Type="http://schemas.openxmlformats.org/officeDocument/2006/relationships/hyperlink" Target="http://docinfogroupe.inetpsa.com/ead/doc/ref.DITV_ATAT07_0039/v.vc/fiche" TargetMode="External"/><Relationship Id="rId515" Type="http://schemas.openxmlformats.org/officeDocument/2006/relationships/hyperlink" Target="http://docinfogroupe.inetpsa.com/ead/doc/ref.01266_19_00848/v.vc/fiche" TargetMode="External"/><Relationship Id="rId47" Type="http://schemas.openxmlformats.org/officeDocument/2006/relationships/hyperlink" Target="http://docinfogroupe.inetpsa.com/ead/doc/ref.DPTA_DMOV05_0937/v.vc/fiche" TargetMode="External"/><Relationship Id="rId89" Type="http://schemas.openxmlformats.org/officeDocument/2006/relationships/hyperlink" Target="http://docinfogroupe.inetpsa.com/ead/doc/ref.DITV_ATAT07_0089/v.vc/fiche" TargetMode="External"/><Relationship Id="rId112" Type="http://schemas.openxmlformats.org/officeDocument/2006/relationships/hyperlink" Target="http://docinfogroupe.inetpsa.com/ead/doc/ref.01266_10_00635/v.vc/fiche" TargetMode="External"/><Relationship Id="rId154" Type="http://schemas.openxmlformats.org/officeDocument/2006/relationships/hyperlink" Target="http://docinfogroupe.inetpsa.com/ead/doc/ref.01266_13_00628/v.vc/fiche" TargetMode="External"/><Relationship Id="rId361" Type="http://schemas.openxmlformats.org/officeDocument/2006/relationships/hyperlink" Target="http://docinfogroupe.inetpsa.com/ead/doc/ref.DITV_ATAT07_0031/v.vc/fiche" TargetMode="External"/><Relationship Id="rId557" Type="http://schemas.openxmlformats.org/officeDocument/2006/relationships/hyperlink" Target="https://docinfogroupe.stellantis.com/ead/doc/ref.01266_22_00520/v.vc/fiche" TargetMode="External"/><Relationship Id="rId599" Type="http://schemas.openxmlformats.org/officeDocument/2006/relationships/hyperlink" Target="http://docinfogroupe.inetpsa.com/ead/doc/ref.01266_23_00395/v.vc/fiche" TargetMode="External"/><Relationship Id="rId196" Type="http://schemas.openxmlformats.org/officeDocument/2006/relationships/hyperlink" Target="http://docinfogroupe.inetpsa.com/ead/doc/ref.DITV_ATAT07_0119/v.vc/fiche" TargetMode="External"/><Relationship Id="rId417" Type="http://schemas.openxmlformats.org/officeDocument/2006/relationships/hyperlink" Target="http://docinfogroupe.inetpsa.com/ead/doc/ref.DITV_ATAT07_0287/v.vc/fiche" TargetMode="External"/><Relationship Id="rId459" Type="http://schemas.openxmlformats.org/officeDocument/2006/relationships/hyperlink" Target="http://docinfogroupe.inetpsa.com/ead/doc/ref.01266_18_00903/v.vc/fiche" TargetMode="External"/><Relationship Id="rId624" Type="http://schemas.openxmlformats.org/officeDocument/2006/relationships/hyperlink" Target="http://docinfogroupe.inetpsa.com/ead/doc/ref.01266_23_00457/v.vc/fiche" TargetMode="External"/><Relationship Id="rId16" Type="http://schemas.openxmlformats.org/officeDocument/2006/relationships/hyperlink" Target="http://docinfogroupe.inetpsa.com/ead/doc/ref.DITV_ATAT07_0109/v.vc/fiche" TargetMode="External"/><Relationship Id="rId221" Type="http://schemas.openxmlformats.org/officeDocument/2006/relationships/hyperlink" Target="http://docinfogroupe.inetpsa.com/ead/doc/ref.01266_13_00991/v.vc/fiche" TargetMode="External"/><Relationship Id="rId263" Type="http://schemas.openxmlformats.org/officeDocument/2006/relationships/hyperlink" Target="http://docinfogroupe.inetpsa.com/ead/doc/ref.DPTA_DMOV06_0147/v.vc/fiche" TargetMode="External"/><Relationship Id="rId319" Type="http://schemas.openxmlformats.org/officeDocument/2006/relationships/hyperlink" Target="http://docinfogroupe.inetpsa.com/ead/doc/ref.DPTA_DMOV06_0219/v.vc/fiche" TargetMode="External"/><Relationship Id="rId470" Type="http://schemas.openxmlformats.org/officeDocument/2006/relationships/hyperlink" Target="http://docinfogroupe.inetpsa.com/ead/doc/document_view.action?ref=01266_19_00103&amp;v=vc" TargetMode="External"/><Relationship Id="rId526" Type="http://schemas.openxmlformats.org/officeDocument/2006/relationships/hyperlink" Target="http://docinfogroupe.inetpsa.com/ead/doc/ref.01266_20_00221/v.vc/fiche" TargetMode="External"/><Relationship Id="rId58" Type="http://schemas.openxmlformats.org/officeDocument/2006/relationships/hyperlink" Target="http://docinfogroupe.inetpsa.com/ead/doc/ref.DITV_ATAT07_0280/v.vc/fiche" TargetMode="External"/><Relationship Id="rId123" Type="http://schemas.openxmlformats.org/officeDocument/2006/relationships/hyperlink" Target="http://docinfogroupe.inetpsa.com/ead/doc/ref.DITV_ATAT07_0267/v.vc/fiche" TargetMode="External"/><Relationship Id="rId330" Type="http://schemas.openxmlformats.org/officeDocument/2006/relationships/hyperlink" Target="http://docinfogroupe.inetpsa.com/ead/doc/ref.DITV_ATAT07_0262/v.vc/fiche" TargetMode="External"/><Relationship Id="rId568" Type="http://schemas.openxmlformats.org/officeDocument/2006/relationships/hyperlink" Target="http://docinfogroupe.inetpsa.com/ead/doc/ref.01266_22_00514/v.vc/fiche" TargetMode="External"/><Relationship Id="rId165" Type="http://schemas.openxmlformats.org/officeDocument/2006/relationships/hyperlink" Target="http://docinfogroupe.inetpsa.com/ead/doc/ref.DPMO_DIR07_0008/v.vc/fiche" TargetMode="External"/><Relationship Id="rId372" Type="http://schemas.openxmlformats.org/officeDocument/2006/relationships/hyperlink" Target="http://docinfogroupe.inetpsa.com/ead/doc/ref.DPTA_DMOV06_0098/v.vc/fiche" TargetMode="External"/><Relationship Id="rId428" Type="http://schemas.openxmlformats.org/officeDocument/2006/relationships/hyperlink" Target="http://docinfogroupe.inetpsa.com/ead/doc/ref.DPTA_DMOV05_1016/v.vc/fiche" TargetMode="External"/><Relationship Id="rId232" Type="http://schemas.openxmlformats.org/officeDocument/2006/relationships/hyperlink" Target="http://docinfogroupe.inetpsa.com/ead/doc/ref.DPTA_DMOV06_0112/v.vc/fiche" TargetMode="External"/><Relationship Id="rId274" Type="http://schemas.openxmlformats.org/officeDocument/2006/relationships/hyperlink" Target="http://docinfogroupe.inetpsa.com/ead/doc/ref.DITV_ATAT07_0013/v.vc/fiche" TargetMode="External"/><Relationship Id="rId481" Type="http://schemas.openxmlformats.org/officeDocument/2006/relationships/hyperlink" Target="http://docinfogroupe.inetpsa.com/ead/doc/ref.01266_19_00604/v.vc/fiche" TargetMode="External"/><Relationship Id="rId27" Type="http://schemas.openxmlformats.org/officeDocument/2006/relationships/hyperlink" Target="http://docinfogroupe.inetpsa.com/ead/doc/ref.DPTA_DMOV06_0188/v.vc/fiche" TargetMode="External"/><Relationship Id="rId69" Type="http://schemas.openxmlformats.org/officeDocument/2006/relationships/hyperlink" Target="http://docinfogroupe.inetpsa.com/ead/doc/ref.DPTA_DMOV06_0215/v.vc/fiche" TargetMode="External"/><Relationship Id="rId134" Type="http://schemas.openxmlformats.org/officeDocument/2006/relationships/hyperlink" Target="http://docinfogroupe.inetpsa.com/ead/doc/ref.01266_10_01499/v.vc/fiche" TargetMode="External"/><Relationship Id="rId537" Type="http://schemas.openxmlformats.org/officeDocument/2006/relationships/hyperlink" Target="http://docinfogroupe.inetpsa.com/ead/doc/ref.01266_21_00347/v.vc/fiche" TargetMode="External"/><Relationship Id="rId579" Type="http://schemas.openxmlformats.org/officeDocument/2006/relationships/hyperlink" Target="http://docinfogroupe.inetpsa.com/ead/doc/ref.01266_22_00763/v.vc/fiche" TargetMode="External"/><Relationship Id="rId80" Type="http://schemas.openxmlformats.org/officeDocument/2006/relationships/hyperlink" Target="http://docinfogroupe.inetpsa.com/ead/doc/ref.DPTA_DMOV06_0187/v.vc/fiche" TargetMode="External"/><Relationship Id="rId176" Type="http://schemas.openxmlformats.org/officeDocument/2006/relationships/hyperlink" Target="http://docinfogroupe.inetpsa.com/ead/doc/ref.DPTA_DMOV05_0968/v.vc/fiche" TargetMode="External"/><Relationship Id="rId341" Type="http://schemas.openxmlformats.org/officeDocument/2006/relationships/hyperlink" Target="http://docinfogroupe.inetpsa.com/ead/doc/ref.DPTA_DMOV06_0206/v.vc/fiche" TargetMode="External"/><Relationship Id="rId383" Type="http://schemas.openxmlformats.org/officeDocument/2006/relationships/hyperlink" Target="http://docinfogroupe.inetpsa.com/ead/doc/ref.DITV_ATAT07_0137/v.vc/fiche" TargetMode="External"/><Relationship Id="rId439" Type="http://schemas.openxmlformats.org/officeDocument/2006/relationships/hyperlink" Target="http://docinfogroupe.inetpsa.com/ead/doc/ref.01266_16_00647/v.vc/fiche" TargetMode="External"/><Relationship Id="rId590" Type="http://schemas.openxmlformats.org/officeDocument/2006/relationships/hyperlink" Target="http://docinfogroupe.inetpsa.com/ead/doc/ref.01266_23_00186/v.vc/fiche" TargetMode="External"/><Relationship Id="rId604" Type="http://schemas.openxmlformats.org/officeDocument/2006/relationships/hyperlink" Target="http://docinfogroupe.inetpsa.com/ead/doc/ref.01266_23_00334/v.vc/fiche" TargetMode="External"/><Relationship Id="rId201" Type="http://schemas.openxmlformats.org/officeDocument/2006/relationships/hyperlink" Target="http://docinfogroupe.inetpsa.com/ead/doc/ref.DITV_ATAT07_0028/v.vc/fiche" TargetMode="External"/><Relationship Id="rId222" Type="http://schemas.openxmlformats.org/officeDocument/2006/relationships/hyperlink" Target="http://docinfogroupe.inetpsa.com/ead/doc/ref.01266_10_00734/v.vc/fiche" TargetMode="External"/><Relationship Id="rId243" Type="http://schemas.openxmlformats.org/officeDocument/2006/relationships/hyperlink" Target="http://docinfogroupe.inetpsa.com/ead/doc/ref.DITV_ATAT07_0012/v.vc/fiche" TargetMode="External"/><Relationship Id="rId264" Type="http://schemas.openxmlformats.org/officeDocument/2006/relationships/hyperlink" Target="http://docinfogroupe.inetpsa.com/ead/doc/ref.DITV_ATAT07_0101/v.vc/fiche" TargetMode="External"/><Relationship Id="rId285" Type="http://schemas.openxmlformats.org/officeDocument/2006/relationships/hyperlink" Target="http://docinfogroupe.inetpsa.com/ead/doc/ref.DITV_ATAT07_0263/v.vc/fiche" TargetMode="External"/><Relationship Id="rId450" Type="http://schemas.openxmlformats.org/officeDocument/2006/relationships/hyperlink" Target="http://docinfogroupe.inetpsa.com/ead/doc/ref.01266_15_00738/v.vc/fiche" TargetMode="External"/><Relationship Id="rId471" Type="http://schemas.openxmlformats.org/officeDocument/2006/relationships/hyperlink" Target="http://docinfogroupe.inetpsa.com/ead/doc/ref.01266_19_00211/v.vc/fiche" TargetMode="External"/><Relationship Id="rId506" Type="http://schemas.openxmlformats.org/officeDocument/2006/relationships/hyperlink" Target="http://docinfogroupe.inetpsa.com/ead/doc/ref.01266_19_00808/v.vc/fiche" TargetMode="External"/><Relationship Id="rId17" Type="http://schemas.openxmlformats.org/officeDocument/2006/relationships/hyperlink" Target="http://docinfogroupe.inetpsa.com/ead/doc/ref.DITV_ATAT07_0061/v.vc/fiche" TargetMode="External"/><Relationship Id="rId38" Type="http://schemas.openxmlformats.org/officeDocument/2006/relationships/hyperlink" Target="http://docinfogroupe.inetpsa.com/ead/doc/ref.DITV_CMON08_0587/v.vc/fiche" TargetMode="External"/><Relationship Id="rId59" Type="http://schemas.openxmlformats.org/officeDocument/2006/relationships/hyperlink" Target="http://docinfogroupe.inetpsa.com/ead/doc/ref.DITV_ATAT07_0025/v.vc/fiche" TargetMode="External"/><Relationship Id="rId103" Type="http://schemas.openxmlformats.org/officeDocument/2006/relationships/hyperlink" Target="http://docinfogroupe.inetpsa.com/ead/doc/ref.DITV_ATAT07_0208/v.vc/fiche" TargetMode="External"/><Relationship Id="rId124" Type="http://schemas.openxmlformats.org/officeDocument/2006/relationships/hyperlink" Target="http://docinfogroupe.inetpsa.com/ead/doc/ref.DPTA_DMOV06_0129/v.vc/fiche" TargetMode="External"/><Relationship Id="rId310" Type="http://schemas.openxmlformats.org/officeDocument/2006/relationships/hyperlink" Target="http://docinfogroupe.inetpsa.com/ead/doc/ref.DPTA_DMOV06_0136/v.vc/fiche" TargetMode="External"/><Relationship Id="rId492" Type="http://schemas.openxmlformats.org/officeDocument/2006/relationships/hyperlink" Target="http://docinfogroupe.inetpsa.com/ead/doc/ref.01266_19_00841/v.vc/fiche" TargetMode="External"/><Relationship Id="rId527" Type="http://schemas.openxmlformats.org/officeDocument/2006/relationships/hyperlink" Target="http://docinfogroupe.inetpsa.com/ead/doc/ref.01266_20_00224/v.vc/fiche" TargetMode="External"/><Relationship Id="rId548" Type="http://schemas.openxmlformats.org/officeDocument/2006/relationships/hyperlink" Target="http://docinfogroupe.inetpsa.com/ead/doc/ref.01266_22_00648/v.vc/fiche" TargetMode="External"/><Relationship Id="rId569" Type="http://schemas.openxmlformats.org/officeDocument/2006/relationships/hyperlink" Target="http://docinfogroupe.inetpsa.com/ead/doc/ref.01266_22_00513/v.vc/fiche" TargetMode="External"/><Relationship Id="rId70" Type="http://schemas.openxmlformats.org/officeDocument/2006/relationships/hyperlink" Target="http://docinfogroupe.inetpsa.com/ead/doc/ref.DPTA_DMOV05_0955/v.vc/fiche" TargetMode="External"/><Relationship Id="rId91" Type="http://schemas.openxmlformats.org/officeDocument/2006/relationships/hyperlink" Target="http://docinfogroupe.inetpsa.com/ead/doc/ref.DITV_ATAT07_0204/v.vc/fiche" TargetMode="External"/><Relationship Id="rId145" Type="http://schemas.openxmlformats.org/officeDocument/2006/relationships/hyperlink" Target="http://docinfogroupe.inetpsa.com/ead/doc/ref.DITV_ATAT07_0114/v.vc/fiche" TargetMode="External"/><Relationship Id="rId166" Type="http://schemas.openxmlformats.org/officeDocument/2006/relationships/hyperlink" Target="http://docinfogroupe.inetpsa.com/ead/doc/ref.DITV_ATAT07_0294/v.vc/fiche" TargetMode="External"/><Relationship Id="rId187" Type="http://schemas.openxmlformats.org/officeDocument/2006/relationships/hyperlink" Target="http://docinfogroupe.inetpsa.com/ead/doc/ref.01266_14_01081/v.vc/fiche" TargetMode="External"/><Relationship Id="rId331" Type="http://schemas.openxmlformats.org/officeDocument/2006/relationships/hyperlink" Target="http://docinfogroupe.inetpsa.com/ead/doc/ref.DITV_ATAT07_0027/v.vc/fiche" TargetMode="External"/><Relationship Id="rId352" Type="http://schemas.openxmlformats.org/officeDocument/2006/relationships/hyperlink" Target="http://docinfogroupe.inetpsa.com/ead/doc/ref.01266_12_00280/v.vc/fiche" TargetMode="External"/><Relationship Id="rId373" Type="http://schemas.openxmlformats.org/officeDocument/2006/relationships/hyperlink" Target="http://docinfogroupe.inetpsa.com/ead/doc/ref.DITV_ATAT07_0268/v.vc/fiche" TargetMode="External"/><Relationship Id="rId394" Type="http://schemas.openxmlformats.org/officeDocument/2006/relationships/hyperlink" Target="http://docinfogroupe.inetpsa.com/ead/doc/ref.DITV_ATAT07_0096/v.vc/fiche" TargetMode="External"/><Relationship Id="rId408" Type="http://schemas.openxmlformats.org/officeDocument/2006/relationships/hyperlink" Target="http://docinfogroupe.inetpsa.com/ead/doc/ref.01266_10_00744/v.vc/fiche" TargetMode="External"/><Relationship Id="rId429" Type="http://schemas.openxmlformats.org/officeDocument/2006/relationships/hyperlink" Target="http://docinfogroupe.inetpsa.com/ead/doc/ref.DITV_ATAT07_0051/v.vc/fiche" TargetMode="External"/><Relationship Id="rId580" Type="http://schemas.openxmlformats.org/officeDocument/2006/relationships/hyperlink" Target="http://docinfogroupe.inetpsa.com/ead/doc/ref.01266_22_00765/v.vc/fiche" TargetMode="External"/><Relationship Id="rId615" Type="http://schemas.openxmlformats.org/officeDocument/2006/relationships/hyperlink" Target="http://docinfogroupe.inetpsa.com/ead/doc/ref.01266_23_00369/v.vc/fiche" TargetMode="External"/><Relationship Id="rId1" Type="http://schemas.openxmlformats.org/officeDocument/2006/relationships/hyperlink" Target="http://docinfogroupe.inetpsa.com/ead/doc/ref.DPTA_DMOV06_0148/v.vc/fiche" TargetMode="External"/><Relationship Id="rId212" Type="http://schemas.openxmlformats.org/officeDocument/2006/relationships/hyperlink" Target="http://docinfogroupe.inetpsa.com/ead/doc/ref.DITV_ATAT07_0213/v.vc/fiche" TargetMode="External"/><Relationship Id="rId233" Type="http://schemas.openxmlformats.org/officeDocument/2006/relationships/hyperlink" Target="http://docinfogroupe.inetpsa.com/ead/doc/ref.DITV_ATAT07_0009/v.vc/fiche" TargetMode="External"/><Relationship Id="rId254" Type="http://schemas.openxmlformats.org/officeDocument/2006/relationships/hyperlink" Target="http://docinfogroupe.inetpsa.com/ead/doc/ref.DPTA_DMOV06_0191/v.vc/fiche" TargetMode="External"/><Relationship Id="rId440" Type="http://schemas.openxmlformats.org/officeDocument/2006/relationships/hyperlink" Target="http://docinfogroupe.inetpsa.com/ead/doc/ref.01266_16_00639/v.vc/fiche" TargetMode="External"/><Relationship Id="rId28" Type="http://schemas.openxmlformats.org/officeDocument/2006/relationships/hyperlink" Target="http://docinfogroupe.inetpsa.com/ead/doc/ref.01266_14_00963/v.vc/fiche" TargetMode="External"/><Relationship Id="rId49" Type="http://schemas.openxmlformats.org/officeDocument/2006/relationships/hyperlink" Target="http://docinfogroupe.inetpsa.com/ead/doc/ref.CMON_IMV08_0405/v.vc/fiche" TargetMode="External"/><Relationship Id="rId114" Type="http://schemas.openxmlformats.org/officeDocument/2006/relationships/hyperlink" Target="http://docinfogroupe.inetpsa.com/ead/doc/ref.DITV_ATAT07_0116/v.vc/fiche" TargetMode="External"/><Relationship Id="rId275" Type="http://schemas.openxmlformats.org/officeDocument/2006/relationships/hyperlink" Target="http://docinfogroupe.inetpsa.com/ead/doc/ref.DITV_ATAT07_0072/v.vc/fiche" TargetMode="External"/><Relationship Id="rId296" Type="http://schemas.openxmlformats.org/officeDocument/2006/relationships/hyperlink" Target="http://docinfogroupe.inetpsa.com/ead/doc/ref.DITV_ATAT07_0057/v.vc/fiche" TargetMode="External"/><Relationship Id="rId300" Type="http://schemas.openxmlformats.org/officeDocument/2006/relationships/hyperlink" Target="http://docinfogroupe.inetpsa.com/ead/doc/ref.01266_10_00735/v.vc/fiche" TargetMode="External"/><Relationship Id="rId461" Type="http://schemas.openxmlformats.org/officeDocument/2006/relationships/hyperlink" Target="http://docinfogroupe.inetpsa.com/ead/doc/ref.DPTA_DMOV06_0181/v.vc/fiche" TargetMode="External"/><Relationship Id="rId482" Type="http://schemas.openxmlformats.org/officeDocument/2006/relationships/hyperlink" Target="http://docinfogroupe.inetpsa.com/ead/doc/ref.01266_19_00602/v.vc/fiche" TargetMode="External"/><Relationship Id="rId517" Type="http://schemas.openxmlformats.org/officeDocument/2006/relationships/hyperlink" Target="http://docinfogroupe.inetpsa.com/ead/doc/ref.01266_19_00813/v.vc/fiche" TargetMode="External"/><Relationship Id="rId538" Type="http://schemas.openxmlformats.org/officeDocument/2006/relationships/hyperlink" Target="http://docinfogroupe.inetpsa.com/ead/doc/ref.01266_21_00537/v.vc/fiche" TargetMode="External"/><Relationship Id="rId559" Type="http://schemas.openxmlformats.org/officeDocument/2006/relationships/hyperlink" Target="http://docinfogroupe.inetpsa.com/ead/doc/ref.01266_22_00526/v.vc/fiche" TargetMode="External"/><Relationship Id="rId60" Type="http://schemas.openxmlformats.org/officeDocument/2006/relationships/hyperlink" Target="http://docinfogroupe.inetpsa.com/ead/doc/ref.DITV_ATAT07_0296/v.vc/fiche" TargetMode="External"/><Relationship Id="rId81" Type="http://schemas.openxmlformats.org/officeDocument/2006/relationships/hyperlink" Target="http://docinfogroupe.inetpsa.com/ead/doc/ref.DITV_ATAT07_0019/v.vc/fiche" TargetMode="External"/><Relationship Id="rId135" Type="http://schemas.openxmlformats.org/officeDocument/2006/relationships/hyperlink" Target="http://docinfogroupe.inetpsa.com/ead/doc/ref.DITV_ATAT07_0141/v.vc/fiche" TargetMode="External"/><Relationship Id="rId156" Type="http://schemas.openxmlformats.org/officeDocument/2006/relationships/hyperlink" Target="http://docinfogroupe.inetpsa.com/ead/doc/ref.DPTA_DMOV06_0168/v.vc/fiche" TargetMode="External"/><Relationship Id="rId177" Type="http://schemas.openxmlformats.org/officeDocument/2006/relationships/hyperlink" Target="http://docinfogroupe.inetpsa.com/ead/doc/ref.DPTA_DMOV06_0117/v.vc/fiche" TargetMode="External"/><Relationship Id="rId198" Type="http://schemas.openxmlformats.org/officeDocument/2006/relationships/hyperlink" Target="http://docinfogroupe.inetpsa.com/ead/doc/ref.DITV_ATAT07_0173/v.vc/fiche" TargetMode="External"/><Relationship Id="rId321" Type="http://schemas.openxmlformats.org/officeDocument/2006/relationships/hyperlink" Target="http://docinfogroupe.inetpsa.com/ead/doc/ref.DMOV_STRP06_1458/v.vc/fiche" TargetMode="External"/><Relationship Id="rId342" Type="http://schemas.openxmlformats.org/officeDocument/2006/relationships/hyperlink" Target="http://docinfogroupe.inetpsa.com/ead/doc/ref.01266_10_00745/v.vc/fiche" TargetMode="External"/><Relationship Id="rId363" Type="http://schemas.openxmlformats.org/officeDocument/2006/relationships/hyperlink" Target="http://docinfogroupe.inetpsa.com/ead/doc/ref.DITV_ATAT07_0055/v.vc/fiche" TargetMode="External"/><Relationship Id="rId384" Type="http://schemas.openxmlformats.org/officeDocument/2006/relationships/hyperlink" Target="http://docinfogroupe.inetpsa.com/ead/doc/ref.DITV_ATAT07_0113/v.vc/fiche" TargetMode="External"/><Relationship Id="rId419" Type="http://schemas.openxmlformats.org/officeDocument/2006/relationships/hyperlink" Target="http://docinfogroupe.inetpsa.com/ead/doc/ref.DITV_ATAT07_0044/v.vc/fiche" TargetMode="External"/><Relationship Id="rId570" Type="http://schemas.openxmlformats.org/officeDocument/2006/relationships/hyperlink" Target="http://docinfogroupe.inetpsa.com/ead/doc/ref.01266_22_00762/v.vc/fiche" TargetMode="External"/><Relationship Id="rId591" Type="http://schemas.openxmlformats.org/officeDocument/2006/relationships/hyperlink" Target="http://docinfogroupe.inetpsa.com/ead/doc/ref.01266_23_00185/v.vc/fiche" TargetMode="External"/><Relationship Id="rId605" Type="http://schemas.openxmlformats.org/officeDocument/2006/relationships/hyperlink" Target="http://docinfogroupe.inetpsa.com/ead/doc/ref.01266_23_00333/v.vc/fiche" TargetMode="External"/><Relationship Id="rId626" Type="http://schemas.openxmlformats.org/officeDocument/2006/relationships/hyperlink" Target="http://docinfogroupe.inetpsa.com/ead/doc/ref.01266_23_00458/v.vc/fiche" TargetMode="External"/><Relationship Id="rId202" Type="http://schemas.openxmlformats.org/officeDocument/2006/relationships/hyperlink" Target="http://docinfogroupe.inetpsa.com/ead/doc/ref.01266_09_00299/v.vc/fiche" TargetMode="External"/><Relationship Id="rId223" Type="http://schemas.openxmlformats.org/officeDocument/2006/relationships/hyperlink" Target="http://docinfogroupe.inetpsa.com/ead/doc/ref.DPTA_DMOV06_0192/v.vc/fiche" TargetMode="External"/><Relationship Id="rId244" Type="http://schemas.openxmlformats.org/officeDocument/2006/relationships/hyperlink" Target="http://docinfogroupe.inetpsa.com/ead/doc/ref.DPTA_DMOV06_0174/v.vc/fiche" TargetMode="External"/><Relationship Id="rId430" Type="http://schemas.openxmlformats.org/officeDocument/2006/relationships/hyperlink" Target="http://docinfogroupe.inetpsa.com/ead/doc/ref.DITV_ATAT07_0157/v.vc/fiche" TargetMode="External"/><Relationship Id="rId18" Type="http://schemas.openxmlformats.org/officeDocument/2006/relationships/hyperlink" Target="http://docinfogroupe.inetpsa.com/ead/doc/ref.01266_12_00386/v.vc/fiche" TargetMode="External"/><Relationship Id="rId39" Type="http://schemas.openxmlformats.org/officeDocument/2006/relationships/hyperlink" Target="http://docinfogroupe.inetpsa.com/ead/doc/ref.DTI_DITV07_0028/v.vc/fiche" TargetMode="External"/><Relationship Id="rId265" Type="http://schemas.openxmlformats.org/officeDocument/2006/relationships/hyperlink" Target="http://docinfogroupe.inetpsa.com/ead/doc/ref.DITV_ATAT07_0295/v.vc/fiche" TargetMode="External"/><Relationship Id="rId286" Type="http://schemas.openxmlformats.org/officeDocument/2006/relationships/hyperlink" Target="http://docinfogroupe.inetpsa.com/ead/doc/ref.01266_09_00147/v.vc/fiche" TargetMode="External"/><Relationship Id="rId451" Type="http://schemas.openxmlformats.org/officeDocument/2006/relationships/hyperlink" Target="http://docinfogroupe.inetpsa.com/ead/doc/ref.01266_17_00608/v.vc/fiche" TargetMode="External"/><Relationship Id="rId472" Type="http://schemas.openxmlformats.org/officeDocument/2006/relationships/hyperlink" Target="http://docinfogroupe.inetpsa.com/ead/doc/ref.01266_19_00278/v.vc/fiche" TargetMode="External"/><Relationship Id="rId493" Type="http://schemas.openxmlformats.org/officeDocument/2006/relationships/hyperlink" Target="http://docinfogroupe.inetpsa.com/ead/doc/ref.01266_19_00779/v.vc/fiche" TargetMode="External"/><Relationship Id="rId507" Type="http://schemas.openxmlformats.org/officeDocument/2006/relationships/hyperlink" Target="http://docinfogroupe.inetpsa.com/ead/doc/ref.01266_19_00601/v.vc/fiche" TargetMode="External"/><Relationship Id="rId528" Type="http://schemas.openxmlformats.org/officeDocument/2006/relationships/hyperlink" Target="http://docinfogroupe.inetpsa.com/ead/doc/ref.01266_19_00784/v.vc/fiche" TargetMode="External"/><Relationship Id="rId549" Type="http://schemas.openxmlformats.org/officeDocument/2006/relationships/hyperlink" Target="http://docinfogroupe.inetpsa.com/ead/doc/ref.01266_22_00522/v.vc/fiche" TargetMode="External"/><Relationship Id="rId50" Type="http://schemas.openxmlformats.org/officeDocument/2006/relationships/hyperlink" Target="http://docinfogroupe.inetpsa.com/ead/doc/ref.DPTA_DMOV06_0171/v.vc/fiche" TargetMode="External"/><Relationship Id="rId104" Type="http://schemas.openxmlformats.org/officeDocument/2006/relationships/hyperlink" Target="http://docinfogroupe.inetpsa.com/ead/doc/ref.DITV_ATAT07_0032/v.vc/fiche" TargetMode="External"/><Relationship Id="rId125" Type="http://schemas.openxmlformats.org/officeDocument/2006/relationships/hyperlink" Target="http://docinfogroupe.inetpsa.com/ead/doc/ref.DPTA_DMOV06_0114/v.vc/fiche" TargetMode="External"/><Relationship Id="rId146" Type="http://schemas.openxmlformats.org/officeDocument/2006/relationships/hyperlink" Target="http://docinfogroupe.inetpsa.com/ead/doc/ref.DPTA_DMOV06_0097/v.vc/fiche" TargetMode="External"/><Relationship Id="rId167" Type="http://schemas.openxmlformats.org/officeDocument/2006/relationships/hyperlink" Target="http://docinfogroupe.inetpsa.com/ead/doc/ref.DITV_CMON08_0322/v.vc/fiche" TargetMode="External"/><Relationship Id="rId188" Type="http://schemas.openxmlformats.org/officeDocument/2006/relationships/hyperlink" Target="http://docinfogroupe.inetpsa.com/ead/doc/ref.DPTA_DMOV05_1018/v.vc/fiche" TargetMode="External"/><Relationship Id="rId311" Type="http://schemas.openxmlformats.org/officeDocument/2006/relationships/hyperlink" Target="http://docinfogroupe.inetpsa.com/ead/doc/ref.DITV_ATAT07_0132/v.vc/fiche" TargetMode="External"/><Relationship Id="rId332" Type="http://schemas.openxmlformats.org/officeDocument/2006/relationships/hyperlink" Target="http://docinfogroupe.inetpsa.com/ead/doc/ref.DITV_ATAT07_0084/v.vc/fiche" TargetMode="External"/><Relationship Id="rId353" Type="http://schemas.openxmlformats.org/officeDocument/2006/relationships/hyperlink" Target="http://docinfogroupe.inetpsa.com/ead/doc/ref.DPTA_DMOV06_0016/v.vc/fiche" TargetMode="External"/><Relationship Id="rId374" Type="http://schemas.openxmlformats.org/officeDocument/2006/relationships/hyperlink" Target="http://docinfogroupe.inetpsa.com/ead/doc/ref.DPTA_DMOV05_0998/v.vc/fiche" TargetMode="External"/><Relationship Id="rId395" Type="http://schemas.openxmlformats.org/officeDocument/2006/relationships/hyperlink" Target="http://docinfogroupe.inetpsa.com/ead/doc/ref.DITV_ATAT07_0162/v.vc/fiche" TargetMode="External"/><Relationship Id="rId409" Type="http://schemas.openxmlformats.org/officeDocument/2006/relationships/hyperlink" Target="http://docinfogroupe.inetpsa.com/ead/doc/ref.DPTA_DMOV06_0015/v.vc/fiche" TargetMode="External"/><Relationship Id="rId560" Type="http://schemas.openxmlformats.org/officeDocument/2006/relationships/hyperlink" Target="https://docinfogroupe.stellantis.com/ead/doc/ref.01266_22_00528/v.vc/fiche" TargetMode="External"/><Relationship Id="rId581" Type="http://schemas.openxmlformats.org/officeDocument/2006/relationships/hyperlink" Target="http://docinfogroupe.inetpsa.com/ead/doc/ref.01266_22_00515/v.vc/fiche" TargetMode="External"/><Relationship Id="rId71" Type="http://schemas.openxmlformats.org/officeDocument/2006/relationships/hyperlink" Target="http://docinfogroupe.inetpsa.com/ead/doc/ref.DPTA_DMOV06_0212/v.vc/fiche" TargetMode="External"/><Relationship Id="rId92" Type="http://schemas.openxmlformats.org/officeDocument/2006/relationships/hyperlink" Target="http://docinfogroupe.inetpsa.com/ead/doc/ref.DPTA_DMOV06_0198/v.vc/fiche" TargetMode="External"/><Relationship Id="rId213" Type="http://schemas.openxmlformats.org/officeDocument/2006/relationships/hyperlink" Target="http://docinfogroupe.inetpsa.com/ead/doc/ref.DITV_ATAT07_0038/v.vc/fiche" TargetMode="External"/><Relationship Id="rId234" Type="http://schemas.openxmlformats.org/officeDocument/2006/relationships/hyperlink" Target="http://docinfogroupe.inetpsa.com/ead/doc/ref.DITV_ATAT07_0218/v.vc/fiche" TargetMode="External"/><Relationship Id="rId420" Type="http://schemas.openxmlformats.org/officeDocument/2006/relationships/hyperlink" Target="http://docinfogroupe.inetpsa.com/ead/doc/ref.DPTA_DMOV06_0006/v.vc/fiche" TargetMode="External"/><Relationship Id="rId616" Type="http://schemas.openxmlformats.org/officeDocument/2006/relationships/hyperlink" Target="http://docinfogroupe.inetpsa.com/ead/doc/ref.01266_23_00370/v.vc/fiche" TargetMode="External"/><Relationship Id="rId2" Type="http://schemas.openxmlformats.org/officeDocument/2006/relationships/hyperlink" Target="http://docinfogroupe.inetpsa.com/ead/doc/ref.DPTA_DMOV06_0132/v.vc/fiche" TargetMode="External"/><Relationship Id="rId29" Type="http://schemas.openxmlformats.org/officeDocument/2006/relationships/hyperlink" Target="http://docinfogroupe.inetpsa.com/ead/doc/ref.DITV_ATAT08_0019/v.vc/fiche" TargetMode="External"/><Relationship Id="rId255" Type="http://schemas.openxmlformats.org/officeDocument/2006/relationships/hyperlink" Target="http://docinfogroupe.inetpsa.com/ead/doc/ref.DITV_ATAT07_0172/v.vc/fiche" TargetMode="External"/><Relationship Id="rId276" Type="http://schemas.openxmlformats.org/officeDocument/2006/relationships/hyperlink" Target="http://docinfogroupe.inetpsa.com/ead/doc/ref.DITV_ATAT07_0258/v.vc/fiche" TargetMode="External"/><Relationship Id="rId297" Type="http://schemas.openxmlformats.org/officeDocument/2006/relationships/hyperlink" Target="http://docinfogroupe.inetpsa.com/ead/doc/ref.DITV_ATAT07_0080/v.vc/fiche" TargetMode="External"/><Relationship Id="rId441" Type="http://schemas.openxmlformats.org/officeDocument/2006/relationships/hyperlink" Target="http://docinfogroupe.inetpsa.com/ead/doc/ref.DPTA_DMOV06_0189/v.vc/fiche" TargetMode="External"/><Relationship Id="rId462" Type="http://schemas.openxmlformats.org/officeDocument/2006/relationships/hyperlink" Target="http://docinfogroupe.inetpsa.com/ead/doc/document_view.action?ref=01266_18_01165&amp;v=0.2" TargetMode="External"/><Relationship Id="rId483" Type="http://schemas.openxmlformats.org/officeDocument/2006/relationships/hyperlink" Target="http://docinfogroupe.inetpsa.com/ead/doc/ref.01266_19_00605/v.vc/fiche" TargetMode="External"/><Relationship Id="rId518" Type="http://schemas.openxmlformats.org/officeDocument/2006/relationships/hyperlink" Target="http://docinfogroupe.inetpsa.com/ead/doc/ref.01266_19_00843/v.vc/fiche" TargetMode="External"/><Relationship Id="rId539" Type="http://schemas.openxmlformats.org/officeDocument/2006/relationships/hyperlink" Target="http://docinfogroupe.inetpsa.com/ead/doc/ref.01266_22_00359/v.vc/pj" TargetMode="External"/><Relationship Id="rId40" Type="http://schemas.openxmlformats.org/officeDocument/2006/relationships/hyperlink" Target="http://docinfogroupe.inetpsa.com/ead/doc/ref.01266_10_01125/v.vc/fiche" TargetMode="External"/><Relationship Id="rId115" Type="http://schemas.openxmlformats.org/officeDocument/2006/relationships/hyperlink" Target="http://docinfogroupe.inetpsa.com/ead/doc/ref.DPTA_DMOV06_0116/v.vc/fiche" TargetMode="External"/><Relationship Id="rId136" Type="http://schemas.openxmlformats.org/officeDocument/2006/relationships/hyperlink" Target="http://docinfogroupe.inetpsa.com/ead/doc/ref.DITV_ATAT07_0266/v.vc/fiche" TargetMode="External"/><Relationship Id="rId157" Type="http://schemas.openxmlformats.org/officeDocument/2006/relationships/hyperlink" Target="http://docinfogroupe.inetpsa.com/ead/doc/ref.01266_10_00743/v.vc/fiche" TargetMode="External"/><Relationship Id="rId178" Type="http://schemas.openxmlformats.org/officeDocument/2006/relationships/hyperlink" Target="http://docinfogroupe.inetpsa.com/ead/doc/ref.01266_12_00151/v.vc/fiche" TargetMode="External"/><Relationship Id="rId301" Type="http://schemas.openxmlformats.org/officeDocument/2006/relationships/hyperlink" Target="http://docinfogroupe.inetpsa.com/ead/doc/ref.DITV_ATAT07_0075/v.vc/fiche" TargetMode="External"/><Relationship Id="rId322" Type="http://schemas.openxmlformats.org/officeDocument/2006/relationships/hyperlink" Target="http://docinfogroupe.inetpsa.com/ead/doc/ref.DITV_ATAT07_0243/v.vc/fiche" TargetMode="External"/><Relationship Id="rId343" Type="http://schemas.openxmlformats.org/officeDocument/2006/relationships/hyperlink" Target="http://docinfogroupe.inetpsa.com/ead/doc/ref.DPTA_DMOV06_0013/v.vc/fiche" TargetMode="External"/><Relationship Id="rId364" Type="http://schemas.openxmlformats.org/officeDocument/2006/relationships/hyperlink" Target="http://docinfogroupe.inetpsa.com/ead/doc/ref.DITV_ATAT07_0022/v.vc/fiche" TargetMode="External"/><Relationship Id="rId550" Type="http://schemas.openxmlformats.org/officeDocument/2006/relationships/hyperlink" Target="http://docinfogroupe.inetpsa.com/ead/doc/ref.01266_22_00538/v.vc/fiche" TargetMode="External"/><Relationship Id="rId61" Type="http://schemas.openxmlformats.org/officeDocument/2006/relationships/hyperlink" Target="http://docinfogroupe.inetpsa.com/ead/doc/ref.DITV_ATAT07_0293/v.vc/fiche" TargetMode="External"/><Relationship Id="rId82" Type="http://schemas.openxmlformats.org/officeDocument/2006/relationships/hyperlink" Target="http://docinfogroupe.inetpsa.com/ead/doc/ref.DITV_ATAT07_0103/v.vc/fiche" TargetMode="External"/><Relationship Id="rId199" Type="http://schemas.openxmlformats.org/officeDocument/2006/relationships/hyperlink" Target="http://docinfogroupe.inetpsa.com/ead/doc/ref.DPTA_DMOV06_0222/v.vc/fiche" TargetMode="External"/><Relationship Id="rId203" Type="http://schemas.openxmlformats.org/officeDocument/2006/relationships/hyperlink" Target="http://docinfogroupe.inetpsa.com/ead/doc/ref.DITV_ATAT07_0030/v.vc/fiche" TargetMode="External"/><Relationship Id="rId385" Type="http://schemas.openxmlformats.org/officeDocument/2006/relationships/hyperlink" Target="http://docinfogroupe.inetpsa.com/ead/doc/ref.DITV_ATAT07_0062/v.vc/fiche" TargetMode="External"/><Relationship Id="rId571" Type="http://schemas.openxmlformats.org/officeDocument/2006/relationships/hyperlink" Target="http://docinfogroupe.inetpsa.com/ead/doc/ref.01266_23_00142/v.vc/fiche" TargetMode="External"/><Relationship Id="rId592" Type="http://schemas.openxmlformats.org/officeDocument/2006/relationships/hyperlink" Target="http://docinfogroupe.inetpsa.com/ead/doc/ref.01266_23_00399/v.vc/fiche" TargetMode="External"/><Relationship Id="rId606" Type="http://schemas.openxmlformats.org/officeDocument/2006/relationships/hyperlink" Target="http://docinfogroupe.inetpsa.com/ead/doc/ref.01266_23_00325/v.vc/fiche" TargetMode="External"/><Relationship Id="rId627" Type="http://schemas.openxmlformats.org/officeDocument/2006/relationships/hyperlink" Target="http://docinfogroupe.inetpsa.com/ead/doc/ref.01266_23_00456/v.vc/fiche" TargetMode="External"/><Relationship Id="rId19" Type="http://schemas.openxmlformats.org/officeDocument/2006/relationships/hyperlink" Target="http://docinfogroupe.inetpsa.com/ead/doc/ref.DITV_ATAT07_0210/v.vc/fiche" TargetMode="External"/><Relationship Id="rId224" Type="http://schemas.openxmlformats.org/officeDocument/2006/relationships/hyperlink" Target="http://docinfogroupe.inetpsa.com/ead/doc/ref.DITV_ATAT07_0087/v.vc/fiche" TargetMode="External"/><Relationship Id="rId245" Type="http://schemas.openxmlformats.org/officeDocument/2006/relationships/hyperlink" Target="http://docinfogroupe.inetpsa.com/ead/doc/ref.01266_14_01085/v.vc/fiche" TargetMode="External"/><Relationship Id="rId266" Type="http://schemas.openxmlformats.org/officeDocument/2006/relationships/hyperlink" Target="http://docinfogroupe.inetpsa.com/ead/doc/ref.DITV_ATAT07_0129/v.vc/fiche" TargetMode="External"/><Relationship Id="rId287" Type="http://schemas.openxmlformats.org/officeDocument/2006/relationships/hyperlink" Target="http://docinfogroupe.inetpsa.com/ead/doc/ref.DITV_ATAT07_0207/v.vc/fiche" TargetMode="External"/><Relationship Id="rId410" Type="http://schemas.openxmlformats.org/officeDocument/2006/relationships/hyperlink" Target="http://docinfogroupe.inetpsa.com/ead/doc/ref.DITV_ATAT07_0255/v.vc/fiche" TargetMode="External"/><Relationship Id="rId431" Type="http://schemas.openxmlformats.org/officeDocument/2006/relationships/hyperlink" Target="http://docinfogroupe.inetpsa.com/ead/doc/ref.DITV_ATAT07_0142/v.vc/fiche" TargetMode="External"/><Relationship Id="rId452" Type="http://schemas.openxmlformats.org/officeDocument/2006/relationships/hyperlink" Target="http://docinfogroupe.inetpsa.com/ead/doc/document_view.action?ref=01266_17_00696&amp;v=vc" TargetMode="External"/><Relationship Id="rId473" Type="http://schemas.openxmlformats.org/officeDocument/2006/relationships/hyperlink" Target="http://docinfogroupe.inetpsa.com/ead/doc/ref.01266_19_00213/v.vc/fiche" TargetMode="External"/><Relationship Id="rId494" Type="http://schemas.openxmlformats.org/officeDocument/2006/relationships/hyperlink" Target="http://docinfogroupe.inetpsa.com/ead/doc/ref.01266_19_00809/v.vc/fiche" TargetMode="External"/><Relationship Id="rId508" Type="http://schemas.openxmlformats.org/officeDocument/2006/relationships/hyperlink" Target="http://docinfogroupe.inetpsa.com/ead/doc/ref.01266_19_00782/v.vc/fiche" TargetMode="External"/><Relationship Id="rId529" Type="http://schemas.openxmlformats.org/officeDocument/2006/relationships/hyperlink" Target="http://docinfogroupe.inetpsa.com/ead/doc/ref.01266_20_00776/v.vc/fiche" TargetMode="External"/><Relationship Id="rId30" Type="http://schemas.openxmlformats.org/officeDocument/2006/relationships/hyperlink" Target="http://docinfogroupe.inetpsa.com/ead/doc/ref.CMON_IMV08_0412/v.vc/fiche" TargetMode="External"/><Relationship Id="rId105" Type="http://schemas.openxmlformats.org/officeDocument/2006/relationships/hyperlink" Target="http://docinfogroupe.inetpsa.com/ead/doc/ref.DITV_ATAT07_0046/v.vc/fiche" TargetMode="External"/><Relationship Id="rId126" Type="http://schemas.openxmlformats.org/officeDocument/2006/relationships/hyperlink" Target="http://docinfogroupe.inetpsa.com/ead/doc/ref.DPTA_DMOV06_0213/v.vc/fiche" TargetMode="External"/><Relationship Id="rId147" Type="http://schemas.openxmlformats.org/officeDocument/2006/relationships/hyperlink" Target="http://docinfogroupe.inetpsa.com/ead/doc/ref.DITV_ATAT07_0017/v.vc/fiche" TargetMode="External"/><Relationship Id="rId168" Type="http://schemas.openxmlformats.org/officeDocument/2006/relationships/hyperlink" Target="http://docinfogroupe.inetpsa.com/ead/doc/ref.DPTA_DMOV05_0997/v.vc/fiche" TargetMode="External"/><Relationship Id="rId312" Type="http://schemas.openxmlformats.org/officeDocument/2006/relationships/hyperlink" Target="http://docinfogroupe.inetpsa.com/ead/doc/ref.DPTA_DMOV06_0123/v.vc/fiche" TargetMode="External"/><Relationship Id="rId333" Type="http://schemas.openxmlformats.org/officeDocument/2006/relationships/hyperlink" Target="http://docinfogroupe.inetpsa.com/ead/doc/ref.DITV_ATAT07_0206/v.vc/fiche" TargetMode="External"/><Relationship Id="rId354" Type="http://schemas.openxmlformats.org/officeDocument/2006/relationships/hyperlink" Target="http://docinfogroupe.inetpsa.com/ead/doc/ref.DITV_ATAT07_0071/v.vc/fiche" TargetMode="External"/><Relationship Id="rId540" Type="http://schemas.openxmlformats.org/officeDocument/2006/relationships/hyperlink" Target="http://docinfogroupe.inetpsa.com/ead/doc/ref.01266_22_00511/v.vc/fiche" TargetMode="External"/><Relationship Id="rId51" Type="http://schemas.openxmlformats.org/officeDocument/2006/relationships/hyperlink" Target="http://docinfogroupe.inetpsa.com/ead/doc/ref.DITV_ATAT07_0261/v.vc/fiche" TargetMode="External"/><Relationship Id="rId72" Type="http://schemas.openxmlformats.org/officeDocument/2006/relationships/hyperlink" Target="http://docinfogroupe.inetpsa.com/ead/doc/ref.DITV_ATAT07_0065/v.vc/fiche" TargetMode="External"/><Relationship Id="rId93" Type="http://schemas.openxmlformats.org/officeDocument/2006/relationships/hyperlink" Target="http://docinfogroupe.inetpsa.com/ead/doc/ref.DITV_ATAT07_0247/v.vc/fiche" TargetMode="External"/><Relationship Id="rId189" Type="http://schemas.openxmlformats.org/officeDocument/2006/relationships/hyperlink" Target="http://docinfogroupe.inetpsa.com/ead/doc/ref.DITV_ATAT07_0069/v.vc/fiche" TargetMode="External"/><Relationship Id="rId375" Type="http://schemas.openxmlformats.org/officeDocument/2006/relationships/hyperlink" Target="http://docinfogroupe.inetpsa.com/ead/doc/ref.01266_13_00824/v.vc/fiche" TargetMode="External"/><Relationship Id="rId396" Type="http://schemas.openxmlformats.org/officeDocument/2006/relationships/hyperlink" Target="http://docinfogroupe.inetpsa.com/ead/doc/ref.DPTA_DMOV06_0130/v.vc/fiche" TargetMode="External"/><Relationship Id="rId561" Type="http://schemas.openxmlformats.org/officeDocument/2006/relationships/hyperlink" Target="http://docinfogroupe.inetpsa.com/ead/doc/ref.01266_22_00527/v.vc/fiche" TargetMode="External"/><Relationship Id="rId582" Type="http://schemas.openxmlformats.org/officeDocument/2006/relationships/hyperlink" Target="http://docinfogroupe.inetpsa.com/ead/doc/ref.01266_22_00524/v.vc/fiche" TargetMode="External"/><Relationship Id="rId617" Type="http://schemas.openxmlformats.org/officeDocument/2006/relationships/hyperlink" Target="http://docinfogroupe.inetpsa.com/ead/doc/ref.01266_23_00368/v.vc/fiche" TargetMode="External"/><Relationship Id="rId3" Type="http://schemas.openxmlformats.org/officeDocument/2006/relationships/hyperlink" Target="http://docinfogroupe.inetpsa.com/ead/doc/ref.DPTA_DMOV06_0082/v.vc/fiche" TargetMode="External"/><Relationship Id="rId214" Type="http://schemas.openxmlformats.org/officeDocument/2006/relationships/hyperlink" Target="http://docinfogroupe.inetpsa.com/ead/doc/ref.DPTA_DMOV06_0220/v.vc/fiche" TargetMode="External"/><Relationship Id="rId235" Type="http://schemas.openxmlformats.org/officeDocument/2006/relationships/hyperlink" Target="http://docinfogroupe.inetpsa.com/ead/doc/ref.DITV_ATAT07_0214/v.vc/fiche" TargetMode="External"/><Relationship Id="rId256" Type="http://schemas.openxmlformats.org/officeDocument/2006/relationships/hyperlink" Target="http://docinfogroupe.inetpsa.com/ead/doc/ref.DPTA_DMOV06_0158/v.vc/fiche" TargetMode="External"/><Relationship Id="rId277" Type="http://schemas.openxmlformats.org/officeDocument/2006/relationships/hyperlink" Target="http://docinfogroupe.inetpsa.com/ead/doc/ref.DITV_ATAT07_0289/v.vc/fiche" TargetMode="External"/><Relationship Id="rId298" Type="http://schemas.openxmlformats.org/officeDocument/2006/relationships/hyperlink" Target="http://docinfogroupe.inetpsa.com/ead/doc/ref.DPTA_DMOV06_0186/v.vc/fiche" TargetMode="External"/><Relationship Id="rId400" Type="http://schemas.openxmlformats.org/officeDocument/2006/relationships/hyperlink" Target="http://docinfogroupe.inetpsa.com/ead/doc/ref.DITV_ATAT07_0066/v.vc/fiche" TargetMode="External"/><Relationship Id="rId421" Type="http://schemas.openxmlformats.org/officeDocument/2006/relationships/hyperlink" Target="http://docinfogroupe.inetpsa.com/ead/doc/ref.DPTA_DMOV06_0244/v.vc/fiche" TargetMode="External"/><Relationship Id="rId442" Type="http://schemas.openxmlformats.org/officeDocument/2006/relationships/hyperlink" Target="http://docinfogroupe.inetpsa.com/ead/doc/ref.01266_16_00712/v.vc/fiche" TargetMode="External"/><Relationship Id="rId463" Type="http://schemas.openxmlformats.org/officeDocument/2006/relationships/hyperlink" Target="http://docinfogroupe.inetpsa.com/ead/doc/ref.01266_18_00836/v.vc/fiche" TargetMode="External"/><Relationship Id="rId484" Type="http://schemas.openxmlformats.org/officeDocument/2006/relationships/hyperlink" Target="http://docinfogroupe.inetpsa.com/ead/doc/ref.01266_19_00603/v.vc/fiche" TargetMode="External"/><Relationship Id="rId519" Type="http://schemas.openxmlformats.org/officeDocument/2006/relationships/hyperlink" Target="http://docinfogroupe.inetpsa.com/ead/doc/ref.01266_20_00775/v.vc/fiche" TargetMode="External"/><Relationship Id="rId116" Type="http://schemas.openxmlformats.org/officeDocument/2006/relationships/hyperlink" Target="http://docinfogroupe.inetpsa.com/ead/doc/ref.DPTA_DMOV06_0221/v.vc/fiche" TargetMode="External"/><Relationship Id="rId137" Type="http://schemas.openxmlformats.org/officeDocument/2006/relationships/hyperlink" Target="http://docinfogroupe.inetpsa.com/ead/doc/ref.01266_12_00210/v.vc/fiche" TargetMode="External"/><Relationship Id="rId158" Type="http://schemas.openxmlformats.org/officeDocument/2006/relationships/hyperlink" Target="http://docinfogroupe.inetpsa.com/ead/doc/ref.DITV_ATAT07_0158/v.vc/fiche" TargetMode="External"/><Relationship Id="rId302" Type="http://schemas.openxmlformats.org/officeDocument/2006/relationships/hyperlink" Target="http://docinfogroupe.inetpsa.com/ead/doc/ref.DITV_ATAT07_0120/v.vc/fiche" TargetMode="External"/><Relationship Id="rId323" Type="http://schemas.openxmlformats.org/officeDocument/2006/relationships/hyperlink" Target="http://docinfogroupe.inetpsa.com/ead/doc/ref.DPTA_DMOV05_0956/v.vc/fiche" TargetMode="External"/><Relationship Id="rId344" Type="http://schemas.openxmlformats.org/officeDocument/2006/relationships/hyperlink" Target="http://docinfogroupe.inetpsa.com/ead/doc/ref.01266_14_01080/v.vc/fiche" TargetMode="External"/><Relationship Id="rId530" Type="http://schemas.openxmlformats.org/officeDocument/2006/relationships/hyperlink" Target="http://docinfogroupe.inetpsa.com/ead/doc/ref.01266_20_00217/v.vc/fiche" TargetMode="External"/><Relationship Id="rId20" Type="http://schemas.openxmlformats.org/officeDocument/2006/relationships/hyperlink" Target="http://docinfogroupe.inetpsa.com/ead/doc/ref.DITV_ATAT07_0060/v.vc/fiche" TargetMode="External"/><Relationship Id="rId41" Type="http://schemas.openxmlformats.org/officeDocument/2006/relationships/hyperlink" Target="http://docinfogroupe.inetpsa.com/ead/doc/ref.DITV_ATAT07_0282/v.vc/fiche" TargetMode="External"/><Relationship Id="rId62" Type="http://schemas.openxmlformats.org/officeDocument/2006/relationships/hyperlink" Target="http://docinfogroupe.inetpsa.com/ead/doc/ref.01266_11_00413/v.vc/fiche" TargetMode="External"/><Relationship Id="rId83" Type="http://schemas.openxmlformats.org/officeDocument/2006/relationships/hyperlink" Target="http://docinfogroupe.inetpsa.com/ead/doc/ref.DITV_ATAT07_0195/v.vc/fiche" TargetMode="External"/><Relationship Id="rId179" Type="http://schemas.openxmlformats.org/officeDocument/2006/relationships/hyperlink" Target="http://docinfogroupe.inetpsa.com/ead/doc/ref.DPTA_DMOV06_0144/v.vc/fiche" TargetMode="External"/><Relationship Id="rId365" Type="http://schemas.openxmlformats.org/officeDocument/2006/relationships/hyperlink" Target="http://docinfogroupe.inetpsa.com/ead/doc/ref.DITV_ATAT07_0068/v.vc/fiche" TargetMode="External"/><Relationship Id="rId386" Type="http://schemas.openxmlformats.org/officeDocument/2006/relationships/hyperlink" Target="http://docinfogroupe.inetpsa.com/ead/doc/ref.DPTA_DMOV06_0240/v.vc/fiche" TargetMode="External"/><Relationship Id="rId551" Type="http://schemas.openxmlformats.org/officeDocument/2006/relationships/hyperlink" Target="http://docinfogroupe.inetpsa.com/ead/doc/ref.01266_21_00348/v.vc/fiche" TargetMode="External"/><Relationship Id="rId572" Type="http://schemas.openxmlformats.org/officeDocument/2006/relationships/hyperlink" Target="http://docinfogroupe.inetpsa.com/ead/doc/ref.01266_23_00141/v.vc/fiche" TargetMode="External"/><Relationship Id="rId593" Type="http://schemas.openxmlformats.org/officeDocument/2006/relationships/hyperlink" Target="http://docinfogroupe.inetpsa.com/ead/doc/ref.01266_23_00400/v.vc/fiche" TargetMode="External"/><Relationship Id="rId607" Type="http://schemas.openxmlformats.org/officeDocument/2006/relationships/hyperlink" Target="http://docinfogroupe.inetpsa.com/ead/doc/ref.01266_23_00328/v.vc/fiche" TargetMode="External"/><Relationship Id="rId628" Type="http://schemas.openxmlformats.org/officeDocument/2006/relationships/hyperlink" Target="http://docinfogroupe.inetpsa.com/ead/doc/ref.01266_19_00817/v.vc/fiche" TargetMode="External"/><Relationship Id="rId190" Type="http://schemas.openxmlformats.org/officeDocument/2006/relationships/hyperlink" Target="http://docinfogroupe.inetpsa.com/ead/doc/ref.DPTA_DMOV06_0197/v.vc/fiche" TargetMode="External"/><Relationship Id="rId204" Type="http://schemas.openxmlformats.org/officeDocument/2006/relationships/hyperlink" Target="http://docinfogroupe.inetpsa.com/ead/doc/ref.DPTA_DMOV06_0190/v.vc/fiche" TargetMode="External"/><Relationship Id="rId225" Type="http://schemas.openxmlformats.org/officeDocument/2006/relationships/hyperlink" Target="http://docinfogroupe.inetpsa.com/ead/doc/ref.DITV_ATAT07_0045/v.vc/fiche" TargetMode="External"/><Relationship Id="rId246" Type="http://schemas.openxmlformats.org/officeDocument/2006/relationships/hyperlink" Target="http://docinfogroupe.inetpsa.com/ead/doc/ref.DITV_ATAT07_0094/v.vc/fiche" TargetMode="External"/><Relationship Id="rId267" Type="http://schemas.openxmlformats.org/officeDocument/2006/relationships/hyperlink" Target="http://docinfogroupe.inetpsa.com/ead/doc/ref.DPTA_DMOV06_0081/v.vc/fiche" TargetMode="External"/><Relationship Id="rId288" Type="http://schemas.openxmlformats.org/officeDocument/2006/relationships/hyperlink" Target="http://docinfogroupe.inetpsa.com/ead/doc/ref.DPTA_DMOV06_0153/v.vc/fiche" TargetMode="External"/><Relationship Id="rId411" Type="http://schemas.openxmlformats.org/officeDocument/2006/relationships/hyperlink" Target="http://docinfogroupe.inetpsa.com/ead/doc/ref.DITV_ATAT07_0134/v.vc/fiche" TargetMode="External"/><Relationship Id="rId432" Type="http://schemas.openxmlformats.org/officeDocument/2006/relationships/hyperlink" Target="http://docinfogroupe.inetpsa.com/ead/doc/ref.DPTA_DMOV05_0980/v.vc/fiche" TargetMode="External"/><Relationship Id="rId453" Type="http://schemas.openxmlformats.org/officeDocument/2006/relationships/hyperlink" Target="http://docinfogroupe.inetpsa.com/ead/doc/document_view.action?ref=01266_17_00404&amp;v=vc" TargetMode="External"/><Relationship Id="rId474" Type="http://schemas.openxmlformats.org/officeDocument/2006/relationships/hyperlink" Target="http://docinfogroupe.inetpsa.com/ead/doc/document_view.action?ref=01266_19_00461&amp;v=vc" TargetMode="External"/><Relationship Id="rId509" Type="http://schemas.openxmlformats.org/officeDocument/2006/relationships/hyperlink" Target="http://docinfogroupe.inetpsa.com/ead/doc/ref.01266_20_00770/v.vc/fiche" TargetMode="External"/><Relationship Id="rId106" Type="http://schemas.openxmlformats.org/officeDocument/2006/relationships/hyperlink" Target="http://docinfogroupe.inetpsa.com/ead/doc/ref.DITV_ATAT07_0269/v.vc/fiche" TargetMode="External"/><Relationship Id="rId127" Type="http://schemas.openxmlformats.org/officeDocument/2006/relationships/hyperlink" Target="http://docinfogroupe.inetpsa.com/ead/doc/ref.DPTA_DMOV05_1000/v.vc/fiche" TargetMode="External"/><Relationship Id="rId313" Type="http://schemas.openxmlformats.org/officeDocument/2006/relationships/hyperlink" Target="http://docinfogroupe.inetpsa.com/ead/doc/ref.DPTA_DMOV06_0041/v.vc/fiche" TargetMode="External"/><Relationship Id="rId495" Type="http://schemas.openxmlformats.org/officeDocument/2006/relationships/hyperlink" Target="http://docinfogroupe.inetpsa.com/ead/doc/ref.01266_19_00776/v.vc/fiche" TargetMode="External"/><Relationship Id="rId10" Type="http://schemas.openxmlformats.org/officeDocument/2006/relationships/hyperlink" Target="http://docinfogroupe.inetpsa.com/ead/doc/ref.DITV_ATAT07_0099/v.vc/fiche" TargetMode="External"/><Relationship Id="rId31" Type="http://schemas.openxmlformats.org/officeDocument/2006/relationships/hyperlink" Target="http://docinfogroupe.inetpsa.com/ead/doc/ref.01266_09_00156/v.vc/fiche" TargetMode="External"/><Relationship Id="rId52" Type="http://schemas.openxmlformats.org/officeDocument/2006/relationships/hyperlink" Target="http://docinfogroupe.inetpsa.com/ead/doc/ref.01266_10_00632/v.vc/fiche" TargetMode="External"/><Relationship Id="rId73" Type="http://schemas.openxmlformats.org/officeDocument/2006/relationships/hyperlink" Target="http://docinfogroupe.inetpsa.com/ead/doc/ref.DITV_ATAT07_0183/v.vc/fiche" TargetMode="External"/><Relationship Id="rId94" Type="http://schemas.openxmlformats.org/officeDocument/2006/relationships/hyperlink" Target="http://docinfogroupe.inetpsa.com/ead/doc/ref.DITV_ATAT07_0121/v.vc/fiche" TargetMode="External"/><Relationship Id="rId148" Type="http://schemas.openxmlformats.org/officeDocument/2006/relationships/hyperlink" Target="http://docinfogroupe.inetpsa.com/ead/doc/ref.DPTA_DMOV06_0175/v.vc/fiche" TargetMode="External"/><Relationship Id="rId169" Type="http://schemas.openxmlformats.org/officeDocument/2006/relationships/hyperlink" Target="http://docinfogroupe.inetpsa.com/ead/doc/ref.DITV_ATAT07_0179/v.vc/fiche" TargetMode="External"/><Relationship Id="rId334" Type="http://schemas.openxmlformats.org/officeDocument/2006/relationships/hyperlink" Target="http://docinfogroupe.inetpsa.com/ead/doc/ref.DPTA_DMOV06_0135/v.vc/fiche" TargetMode="External"/><Relationship Id="rId355" Type="http://schemas.openxmlformats.org/officeDocument/2006/relationships/hyperlink" Target="http://docinfogroupe.inetpsa.com/ead/doc/ref.DPTA_DMOV06_0165/v.vc/fiche" TargetMode="External"/><Relationship Id="rId376" Type="http://schemas.openxmlformats.org/officeDocument/2006/relationships/hyperlink" Target="http://docinfogroupe.inetpsa.com/ead/doc/ref.01266_10_00742/v.vc/fiche" TargetMode="External"/><Relationship Id="rId397" Type="http://schemas.openxmlformats.org/officeDocument/2006/relationships/hyperlink" Target="http://docinfogroupe.inetpsa.com/ead/doc/ref.DPTA_DMOV06_0124/v.vc/fiche" TargetMode="External"/><Relationship Id="rId520" Type="http://schemas.openxmlformats.org/officeDocument/2006/relationships/hyperlink" Target="http://docinfogroupe.inetpsa.com/ead/doc/ref.01266_20_00769/v.vc/pj" TargetMode="External"/><Relationship Id="rId541" Type="http://schemas.openxmlformats.org/officeDocument/2006/relationships/hyperlink" Target="http://docinfogroupe.inetpsa.com/ead/doc/ref.01266_22_00523/v.vc/fiche" TargetMode="External"/><Relationship Id="rId562" Type="http://schemas.openxmlformats.org/officeDocument/2006/relationships/hyperlink" Target="http://docinfogroupe.inetpsa.com/ead/doc/ref.01266_22_00530/v.vc/fiche" TargetMode="External"/><Relationship Id="rId583" Type="http://schemas.openxmlformats.org/officeDocument/2006/relationships/hyperlink" Target="http://docinfogroupe.inetpsa.com/ead/doc/ref.01266_23_00140/v.vc/fiche" TargetMode="External"/><Relationship Id="rId618" Type="http://schemas.openxmlformats.org/officeDocument/2006/relationships/hyperlink" Target="http://docinfogroupe.inetpsa.com/ead/doc/ref.01266_23_00324/v.vc/fiche" TargetMode="External"/><Relationship Id="rId4" Type="http://schemas.openxmlformats.org/officeDocument/2006/relationships/hyperlink" Target="http://docinfogroupe.inetpsa.com/ead/doc/ref.DPTA_DMOV06_0150/v.vc/fiche" TargetMode="External"/><Relationship Id="rId180" Type="http://schemas.openxmlformats.org/officeDocument/2006/relationships/hyperlink" Target="http://docinfogroupe.inetpsa.com/ead/doc/ref.DITV_ATAT07_0256/v.vc/fiche" TargetMode="External"/><Relationship Id="rId215" Type="http://schemas.openxmlformats.org/officeDocument/2006/relationships/hyperlink" Target="http://docinfogroupe.inetpsa.com/ead/doc/ref.DITV_ATAT07_0085/v.vc/fiche" TargetMode="External"/><Relationship Id="rId236" Type="http://schemas.openxmlformats.org/officeDocument/2006/relationships/hyperlink" Target="http://docinfogroupe.inetpsa.com/ead/doc/ref.01266_12_00327/v.vc/fiche" TargetMode="External"/><Relationship Id="rId257" Type="http://schemas.openxmlformats.org/officeDocument/2006/relationships/hyperlink" Target="http://docinfogroupe.inetpsa.com/ead/doc/ref.01266_10_00642/v.vc/fiche" TargetMode="External"/><Relationship Id="rId278" Type="http://schemas.openxmlformats.org/officeDocument/2006/relationships/hyperlink" Target="http://docinfogroupe.inetpsa.com/ead/doc/ref.DITV_ATAT07_0125/v.vc/fiche" TargetMode="External"/><Relationship Id="rId401" Type="http://schemas.openxmlformats.org/officeDocument/2006/relationships/hyperlink" Target="http://docinfogroupe.inetpsa.com/ead/doc/ref.DPTA_DMOV06_0207/v.vc/fiche" TargetMode="External"/><Relationship Id="rId422" Type="http://schemas.openxmlformats.org/officeDocument/2006/relationships/hyperlink" Target="http://docinfogroupe.inetpsa.com/ead/doc/ref.01266_13_00240/v.vc/fiche" TargetMode="External"/><Relationship Id="rId443" Type="http://schemas.openxmlformats.org/officeDocument/2006/relationships/hyperlink" Target="http://docinfogroupe.inetpsa.com/ead/doc/ref.01266_16_00840/v.vc/fiche" TargetMode="External"/><Relationship Id="rId464" Type="http://schemas.openxmlformats.org/officeDocument/2006/relationships/hyperlink" Target="http://docinfogroupe.inetpsa.com/ead/doc/ref.01266_18_01160/v.vc/fiche" TargetMode="External"/><Relationship Id="rId303" Type="http://schemas.openxmlformats.org/officeDocument/2006/relationships/hyperlink" Target="http://docinfogroupe.inetpsa.com/ead/doc/ref.DITV_ATAT07_0187/v.vc/fiche" TargetMode="External"/><Relationship Id="rId485" Type="http://schemas.openxmlformats.org/officeDocument/2006/relationships/hyperlink" Target="http://docinfogroupe.inetpsa.com/ead/doc/ref.01266_19_00539/v.vc/fiche" TargetMode="External"/><Relationship Id="rId42" Type="http://schemas.openxmlformats.org/officeDocument/2006/relationships/hyperlink" Target="http://docinfogroupe.inetpsa.com/ead/doc/ref.01266_13_00552/v.vc/fiche" TargetMode="External"/><Relationship Id="rId84" Type="http://schemas.openxmlformats.org/officeDocument/2006/relationships/hyperlink" Target="http://docinfogroupe.inetpsa.com/ead/doc/ref.DITV_ATAT07_0073/v.vc/fiche" TargetMode="External"/><Relationship Id="rId138" Type="http://schemas.openxmlformats.org/officeDocument/2006/relationships/hyperlink" Target="http://docinfogroupe.inetpsa.com/ead/doc/ref.DPTA_DMOV06_0184/v.vc/fiche" TargetMode="External"/><Relationship Id="rId345" Type="http://schemas.openxmlformats.org/officeDocument/2006/relationships/hyperlink" Target="http://docinfogroupe.inetpsa.com/ead/doc/ref.DPTA_DMOV06_0242/v.vc/fiche" TargetMode="External"/><Relationship Id="rId387" Type="http://schemas.openxmlformats.org/officeDocument/2006/relationships/hyperlink" Target="http://docinfogroupe.inetpsa.com/ead/doc/ref.DITV_ATAT07_0186/v.vc/fiche" TargetMode="External"/><Relationship Id="rId510" Type="http://schemas.openxmlformats.org/officeDocument/2006/relationships/hyperlink" Target="http://docinfogroupe.inetpsa.com/ead/doc/ref.01266_20_00772/v.vc/fiche" TargetMode="External"/><Relationship Id="rId552" Type="http://schemas.openxmlformats.org/officeDocument/2006/relationships/hyperlink" Target="http://docinfogroupe.inetpsa.com/ead/doc/ref.01266_22_00138/v.vc/fiche" TargetMode="External"/><Relationship Id="rId594" Type="http://schemas.openxmlformats.org/officeDocument/2006/relationships/hyperlink" Target="http://docinfogroupe.inetpsa.com/ead/doc/ref.01266_23_00398/v.vc/fiche" TargetMode="External"/><Relationship Id="rId608" Type="http://schemas.openxmlformats.org/officeDocument/2006/relationships/hyperlink" Target="http://docinfogroupe.inetpsa.com/ead/doc/ref.01266_23_00322/v.vc/fiche" TargetMode="External"/><Relationship Id="rId191" Type="http://schemas.openxmlformats.org/officeDocument/2006/relationships/hyperlink" Target="http://docinfogroupe.inetpsa.com/ead/doc/ref.DITV_ATAT07_0246/v.vc/fiche" TargetMode="External"/><Relationship Id="rId205" Type="http://schemas.openxmlformats.org/officeDocument/2006/relationships/hyperlink" Target="http://docinfogroupe.inetpsa.com/ead/doc/ref.CMON_IMV08_0422/v.vc/fiche" TargetMode="External"/><Relationship Id="rId247" Type="http://schemas.openxmlformats.org/officeDocument/2006/relationships/hyperlink" Target="http://docinfogroupe.inetpsa.com/ead/doc/ref.CMON_IMV08_0407/v.vc/fiche" TargetMode="External"/><Relationship Id="rId412" Type="http://schemas.openxmlformats.org/officeDocument/2006/relationships/hyperlink" Target="http://docinfogroupe.inetpsa.com/ead/doc/ref.DPTA_DMOV06_0209/v.vc/fiche" TargetMode="External"/><Relationship Id="rId107" Type="http://schemas.openxmlformats.org/officeDocument/2006/relationships/hyperlink" Target="http://docinfogroupe.inetpsa.com/ead/doc/ref.DITV_ATAT07_0036/v.vc/fiche" TargetMode="External"/><Relationship Id="rId289" Type="http://schemas.openxmlformats.org/officeDocument/2006/relationships/hyperlink" Target="http://docinfogroupe.inetpsa.com/ead/doc/ref.DITV_ATAT07_0056/v.vc/fiche" TargetMode="External"/><Relationship Id="rId454" Type="http://schemas.openxmlformats.org/officeDocument/2006/relationships/hyperlink" Target="http://docinfogroupe.inetpsa.com/ead/doc/document_view.action?ref=01266_17_01389&amp;v=vc" TargetMode="External"/><Relationship Id="rId496" Type="http://schemas.openxmlformats.org/officeDocument/2006/relationships/hyperlink" Target="http://docinfogroupe.inetpsa.com/ead/doc/ref.01266_19_00463/v.vc/fiche" TargetMode="External"/><Relationship Id="rId11" Type="http://schemas.openxmlformats.org/officeDocument/2006/relationships/hyperlink" Target="http://docinfogroupe.inetpsa.com/ead/doc/ref.DPTA_DMOV06_0145/v.vc/fiche" TargetMode="External"/><Relationship Id="rId53" Type="http://schemas.openxmlformats.org/officeDocument/2006/relationships/hyperlink" Target="http://docinfogroupe.inetpsa.com/ead/doc/ref.01266_13_00605/v.vc/fiche" TargetMode="External"/><Relationship Id="rId149" Type="http://schemas.openxmlformats.org/officeDocument/2006/relationships/hyperlink" Target="http://docinfogroupe.inetpsa.com/ead/doc/ref.DPTA_DMOV06_0172/v.vc/fiche" TargetMode="External"/><Relationship Id="rId314" Type="http://schemas.openxmlformats.org/officeDocument/2006/relationships/hyperlink" Target="http://docinfogroupe.inetpsa.com/ead/doc/ref.DITV_ATAT07_0086/v.vc/fiche" TargetMode="External"/><Relationship Id="rId356" Type="http://schemas.openxmlformats.org/officeDocument/2006/relationships/hyperlink" Target="http://docinfogroupe.inetpsa.com/ead/doc/ref.DPTA_DMOV06_0200/v.vc/fiche" TargetMode="External"/><Relationship Id="rId398" Type="http://schemas.openxmlformats.org/officeDocument/2006/relationships/hyperlink" Target="http://docinfogroupe.inetpsa.com/ead/doc/ref.DITV_ATAT07_0281/v.vc/fiche" TargetMode="External"/><Relationship Id="rId521" Type="http://schemas.openxmlformats.org/officeDocument/2006/relationships/hyperlink" Target="http://docinfogroupe.inetpsa.com/ead/doc/ref.01266_19_00812/v.vc/fiche" TargetMode="External"/><Relationship Id="rId563" Type="http://schemas.openxmlformats.org/officeDocument/2006/relationships/hyperlink" Target="https://docinfogroupe.stellantis.com/ead/doc/ref.01266_22_00519/v.vc/fiche" TargetMode="External"/><Relationship Id="rId619" Type="http://schemas.openxmlformats.org/officeDocument/2006/relationships/hyperlink" Target="http://docinfogroupe.inetpsa.com/ead/doc/ref.01266_16_00110/v.vc/fiche" TargetMode="External"/><Relationship Id="rId95" Type="http://schemas.openxmlformats.org/officeDocument/2006/relationships/hyperlink" Target="http://docinfogroupe.inetpsa.com/ead/doc/ref.DPTA_DMOV05_1004/v.vc/fiche" TargetMode="External"/><Relationship Id="rId160" Type="http://schemas.openxmlformats.org/officeDocument/2006/relationships/hyperlink" Target="http://docinfogroupe.inetpsa.com/ead/doc/ref.DITV_ATAT07_0058/v.vc/fiche" TargetMode="External"/><Relationship Id="rId216" Type="http://schemas.openxmlformats.org/officeDocument/2006/relationships/hyperlink" Target="http://docinfogroupe.inetpsa.com/ead/doc/ref.01266_12_00871/v.vc/fiche" TargetMode="External"/><Relationship Id="rId423" Type="http://schemas.openxmlformats.org/officeDocument/2006/relationships/hyperlink" Target="http://docinfogroupe.inetpsa.com/ead/doc/ref.DITV_ATAT07_0298/v.vc/fiche" TargetMode="External"/><Relationship Id="rId258" Type="http://schemas.openxmlformats.org/officeDocument/2006/relationships/hyperlink" Target="http://docinfogroupe.inetpsa.com/ead/doc/ref.DPTA_DMOV06_0032/v.vc/fiche" TargetMode="External"/><Relationship Id="rId465" Type="http://schemas.openxmlformats.org/officeDocument/2006/relationships/hyperlink" Target="http://docinfogroupe.inetpsa.com/ead/doc/ref.01266_18_01133/v.vc/fiche" TargetMode="External"/><Relationship Id="rId22" Type="http://schemas.openxmlformats.org/officeDocument/2006/relationships/hyperlink" Target="http://docinfogroupe.inetpsa.com/ead/doc/ref.DITV_ATAT07_0105/v.vc/fiche" TargetMode="External"/><Relationship Id="rId64" Type="http://schemas.openxmlformats.org/officeDocument/2006/relationships/hyperlink" Target="http://docinfogroupe.inetpsa.com/ead/doc/ref.DITV_ATAT07_0197/v.vc/fiche" TargetMode="External"/><Relationship Id="rId118" Type="http://schemas.openxmlformats.org/officeDocument/2006/relationships/hyperlink" Target="http://docinfogroupe.inetpsa.com/ead/doc/ref.01266_10_00643/v.vc/fiche" TargetMode="External"/><Relationship Id="rId325" Type="http://schemas.openxmlformats.org/officeDocument/2006/relationships/hyperlink" Target="http://docinfogroupe.inetpsa.com/ead/doc/ref.DITV_ATAT07_0178/v.vc/fiche" TargetMode="External"/><Relationship Id="rId367" Type="http://schemas.openxmlformats.org/officeDocument/2006/relationships/hyperlink" Target="http://docinfogroupe.inetpsa.com/ead/doc/ref.DPTA_DMOV06_0154/v.vc/fiche" TargetMode="External"/><Relationship Id="rId532" Type="http://schemas.openxmlformats.org/officeDocument/2006/relationships/hyperlink" Target="http://docinfogroupe.inetpsa.com/ead/doc/ref.01266_20_00219/v.vc/fiche" TargetMode="External"/><Relationship Id="rId574" Type="http://schemas.openxmlformats.org/officeDocument/2006/relationships/hyperlink" Target="http://docinfogroupe.inetpsa.com/ead/doc/ref.01266_22_00518/v.vc/fiche" TargetMode="External"/><Relationship Id="rId171" Type="http://schemas.openxmlformats.org/officeDocument/2006/relationships/hyperlink" Target="http://docinfogroupe.inetpsa.com/ead/doc/ref.01266_13_01124/v.vc/fiche" TargetMode="External"/><Relationship Id="rId227" Type="http://schemas.openxmlformats.org/officeDocument/2006/relationships/hyperlink" Target="http://docinfogroupe.inetpsa.com/ead/doc/ref.DPTA_DMOV06_0169/v.vc/fiche" TargetMode="External"/><Relationship Id="rId269" Type="http://schemas.openxmlformats.org/officeDocument/2006/relationships/hyperlink" Target="http://docinfogroupe.inetpsa.com/ead/doc/ref.DPTA_DMOV06_0211/v.vc/fiche" TargetMode="External"/><Relationship Id="rId434" Type="http://schemas.openxmlformats.org/officeDocument/2006/relationships/hyperlink" Target="http://docinfogroupe.inetpsa.com/ead/doc/ref.DPTA_DMOV06_0204/v.vc/fiche" TargetMode="External"/><Relationship Id="rId476" Type="http://schemas.openxmlformats.org/officeDocument/2006/relationships/hyperlink" Target="http://docinfogroupe.inetpsa.com/ead/doc/document_view.action?ref=01266_19_00536&amp;v=vc" TargetMode="External"/><Relationship Id="rId33" Type="http://schemas.openxmlformats.org/officeDocument/2006/relationships/hyperlink" Target="http://docinfogroupe.inetpsa.com/ead/doc/ref.DITV_ATAT07_0276/v.vc/fiche" TargetMode="External"/><Relationship Id="rId129" Type="http://schemas.openxmlformats.org/officeDocument/2006/relationships/hyperlink" Target="http://docinfogroupe.inetpsa.com/ead/doc/ref.01266_12_00407/v.vc/fiche" TargetMode="External"/><Relationship Id="rId280" Type="http://schemas.openxmlformats.org/officeDocument/2006/relationships/hyperlink" Target="http://docinfogroupe.inetpsa.com/ead/doc/ref.DITV_ATAT08_0020/v.vc/fiche" TargetMode="External"/><Relationship Id="rId336" Type="http://schemas.openxmlformats.org/officeDocument/2006/relationships/hyperlink" Target="http://docinfogroupe.inetpsa.com/ead/doc/ref.DITV_ATAT07_0175/v.vc/fiche" TargetMode="External"/><Relationship Id="rId501" Type="http://schemas.openxmlformats.org/officeDocument/2006/relationships/hyperlink" Target="http://docinfogroupe.inetpsa.com/ead/doc/ref.01266_19_00844/v.vc/fiche" TargetMode="External"/><Relationship Id="rId543" Type="http://schemas.openxmlformats.org/officeDocument/2006/relationships/hyperlink" Target="http://docinfogroupe.inetpsa.com/ead/doc/ref.01266_22_00510/v.vc/fiche" TargetMode="External"/><Relationship Id="rId75" Type="http://schemas.openxmlformats.org/officeDocument/2006/relationships/hyperlink" Target="http://docinfogroupe.inetpsa.com/ead/doc/ref.DITV_ATAT07_0153/v.vc/fiche" TargetMode="External"/><Relationship Id="rId140" Type="http://schemas.openxmlformats.org/officeDocument/2006/relationships/hyperlink" Target="http://docinfogroupe.inetpsa.com/ead/doc/ref.01266_11_02100/v.vc/fiche" TargetMode="External"/><Relationship Id="rId182" Type="http://schemas.openxmlformats.org/officeDocument/2006/relationships/hyperlink" Target="http://docinfogroupe.inetpsa.com/ead/doc/ref.01266_10_00733/v.vc/fiche" TargetMode="External"/><Relationship Id="rId378" Type="http://schemas.openxmlformats.org/officeDocument/2006/relationships/hyperlink" Target="http://docinfogroupe.inetpsa.com/ead/doc/ref.01266_10_00636/v.vc/fiche" TargetMode="External"/><Relationship Id="rId403" Type="http://schemas.openxmlformats.org/officeDocument/2006/relationships/hyperlink" Target="http://docinfogroupe.inetpsa.com/ead/doc/ref.DITV_ATAT07_0192/v.vc/fiche" TargetMode="External"/><Relationship Id="rId585" Type="http://schemas.openxmlformats.org/officeDocument/2006/relationships/hyperlink" Target="http://docinfogroupe.inetpsa.com/ead/doc/ref.01266_18_00948/v.vc/fiche" TargetMode="External"/><Relationship Id="rId6" Type="http://schemas.openxmlformats.org/officeDocument/2006/relationships/hyperlink" Target="http://docinfogroupe.inetpsa.com/ead/doc/ref.DPTA_DMOV06_0120/v.vc/fiche" TargetMode="External"/><Relationship Id="rId238" Type="http://schemas.openxmlformats.org/officeDocument/2006/relationships/hyperlink" Target="http://docinfogroupe.inetpsa.com/ead/doc/ref.DITV_CMON08_0323/v.vc/fiche" TargetMode="External"/><Relationship Id="rId445" Type="http://schemas.openxmlformats.org/officeDocument/2006/relationships/hyperlink" Target="http://docinfogroupe.inetpsa.com/ead/doc/document_view.action?ref=01266_16_00351&amp;v=vc" TargetMode="External"/><Relationship Id="rId487" Type="http://schemas.openxmlformats.org/officeDocument/2006/relationships/hyperlink" Target="http://docinfogroupe.inetpsa.com/ead/doc/ref.01266_18_00258/v.vc/fiche" TargetMode="External"/><Relationship Id="rId610" Type="http://schemas.openxmlformats.org/officeDocument/2006/relationships/hyperlink" Target="http://docinfogroupe.inetpsa.com/ead/doc/ref.01266_23_00375/v.vc/fiche" TargetMode="External"/><Relationship Id="rId291" Type="http://schemas.openxmlformats.org/officeDocument/2006/relationships/hyperlink" Target="http://docinfogroupe.inetpsa.com/ead/doc/ref.DPTA_DMOV06_0009/v.vc/fiche" TargetMode="External"/><Relationship Id="rId305" Type="http://schemas.openxmlformats.org/officeDocument/2006/relationships/hyperlink" Target="http://docinfogroupe.inetpsa.com/ead/doc/ref.01266_10_01548/v.vc/fiche" TargetMode="External"/><Relationship Id="rId347" Type="http://schemas.openxmlformats.org/officeDocument/2006/relationships/hyperlink" Target="http://docinfogroupe.inetpsa.com/ead/doc/ref.01266_10_01789/v.vc/fiche" TargetMode="External"/><Relationship Id="rId512" Type="http://schemas.openxmlformats.org/officeDocument/2006/relationships/hyperlink" Target="http://docinfogroupe.inetpsa.com/ead/doc/ref.01266_20_00773/v.vc/fiche" TargetMode="External"/><Relationship Id="rId44" Type="http://schemas.openxmlformats.org/officeDocument/2006/relationships/hyperlink" Target="http://docinfogroupe.inetpsa.com/ead/doc/ref.DMOV_STRP06_1449/v.vc/fiche" TargetMode="External"/><Relationship Id="rId86" Type="http://schemas.openxmlformats.org/officeDocument/2006/relationships/hyperlink" Target="http://docinfogroupe.inetpsa.com/ead/doc/ref.DITV_ATAT07_0244/v.vc/fiche" TargetMode="External"/><Relationship Id="rId151" Type="http://schemas.openxmlformats.org/officeDocument/2006/relationships/hyperlink" Target="http://docinfogroupe.inetpsa.com/ead/doc/ref.DITV_ATAT07_0107/v.vc/fiche" TargetMode="External"/><Relationship Id="rId389" Type="http://schemas.openxmlformats.org/officeDocument/2006/relationships/hyperlink" Target="http://docinfogroupe.inetpsa.com/ead/doc/ref.DITV_ATAT07_0040/v.vc/fiche" TargetMode="External"/><Relationship Id="rId554" Type="http://schemas.openxmlformats.org/officeDocument/2006/relationships/hyperlink" Target="http://docinfogroupe.inetpsa.com/ead/doc/ref.01266_22_00516/v.vc/fiche" TargetMode="External"/><Relationship Id="rId596" Type="http://schemas.openxmlformats.org/officeDocument/2006/relationships/hyperlink" Target="http://docinfogroupe.inetpsa.com/ead/doc/ref.01266_23_00392/v.vc/fiche" TargetMode="External"/><Relationship Id="rId193" Type="http://schemas.openxmlformats.org/officeDocument/2006/relationships/hyperlink" Target="http://docinfogroupe.inetpsa.com/ead/doc/ref.DITV_ATAT07_0174/v.vc/fiche" TargetMode="External"/><Relationship Id="rId207" Type="http://schemas.openxmlformats.org/officeDocument/2006/relationships/hyperlink" Target="http://docinfogroupe.inetpsa.com/ead/doc/ref.DITV_ATAT07_0020/v.vc/fiche" TargetMode="External"/><Relationship Id="rId249" Type="http://schemas.openxmlformats.org/officeDocument/2006/relationships/hyperlink" Target="http://docinfogroupe.inetpsa.com/ead/doc/ref.DPTA_DMOV06_0055/v.vc/fiche" TargetMode="External"/><Relationship Id="rId414" Type="http://schemas.openxmlformats.org/officeDocument/2006/relationships/hyperlink" Target="http://docinfogroupe.inetpsa.com/ead/doc/ref.DPTA_DMOV05_1017/v.vc/fiche" TargetMode="External"/><Relationship Id="rId456" Type="http://schemas.openxmlformats.org/officeDocument/2006/relationships/hyperlink" Target="http://docinfogroupe.inetpsa.com/ead/doc/document_view.action?ref=01266_17_01167&amp;v=vc" TargetMode="External"/><Relationship Id="rId498" Type="http://schemas.openxmlformats.org/officeDocument/2006/relationships/hyperlink" Target="http://docinfogroupe.inetpsa.com/ead/doc/ref.01266_19_00814/v.vc/fiche" TargetMode="External"/><Relationship Id="rId621" Type="http://schemas.openxmlformats.org/officeDocument/2006/relationships/hyperlink" Target="http://docinfogroupe.inetpsa.com/ead/doc/ref.DPTA_DMOV06_0245/v.vc/fiche" TargetMode="External"/><Relationship Id="rId13" Type="http://schemas.openxmlformats.org/officeDocument/2006/relationships/hyperlink" Target="http://docinfogroupe.inetpsa.com/ead/doc/ref.DPTA_DMOV05_0966/v.vc/fiche" TargetMode="External"/><Relationship Id="rId109" Type="http://schemas.openxmlformats.org/officeDocument/2006/relationships/hyperlink" Target="http://docinfogroupe.inetpsa.com/ead/doc/ref.DITV_ATAT07_0063/v.vc/fiche" TargetMode="External"/><Relationship Id="rId260" Type="http://schemas.openxmlformats.org/officeDocument/2006/relationships/hyperlink" Target="http://docinfogroupe.inetpsa.com/ead/doc/ref.DITV_ATAT07_0083/v.vc/fiche" TargetMode="External"/><Relationship Id="rId316" Type="http://schemas.openxmlformats.org/officeDocument/2006/relationships/hyperlink" Target="http://docinfogroupe.inetpsa.com/ead/doc/ref.DITV_ATAT07_0163/v.vc/fiche" TargetMode="External"/><Relationship Id="rId523" Type="http://schemas.openxmlformats.org/officeDocument/2006/relationships/hyperlink" Target="http://docinfogroupe.inetpsa.com/ead/doc/ref.01266_20_00218/v.vc/fiche" TargetMode="External"/><Relationship Id="rId55" Type="http://schemas.openxmlformats.org/officeDocument/2006/relationships/hyperlink" Target="http://docinfogroupe.inetpsa.com/ead/doc/ref.DITV_ATAT07_0078/v.vc/fiche" TargetMode="External"/><Relationship Id="rId97" Type="http://schemas.openxmlformats.org/officeDocument/2006/relationships/hyperlink" Target="http://docinfogroupe.inetpsa.com/ead/doc/ref.DPTA_DMOV06_0170/v.vc/fiche" TargetMode="External"/><Relationship Id="rId120" Type="http://schemas.openxmlformats.org/officeDocument/2006/relationships/hyperlink" Target="http://docinfogroupe.inetpsa.com/ead/doc/ref.DITV_ATAT07_0135/v.vc/fiche" TargetMode="External"/><Relationship Id="rId358" Type="http://schemas.openxmlformats.org/officeDocument/2006/relationships/hyperlink" Target="http://docinfogroupe.inetpsa.com/ead/doc/ref.DITV_ATAT07_0095/v.vc/fiche" TargetMode="External"/><Relationship Id="rId565" Type="http://schemas.openxmlformats.org/officeDocument/2006/relationships/hyperlink" Target="http://docinfogroupe.inetpsa.com/ead/doc/ref.01266_22_00629/v.vc/fiche" TargetMode="External"/><Relationship Id="rId162" Type="http://schemas.openxmlformats.org/officeDocument/2006/relationships/hyperlink" Target="http://docinfogroupe.inetpsa.com/ead/doc/ref.01266_10_00736/v.vc/fiche" TargetMode="External"/><Relationship Id="rId218" Type="http://schemas.openxmlformats.org/officeDocument/2006/relationships/hyperlink" Target="http://docinfogroupe.inetpsa.com/ead/doc/ref.DITV_ATAT07_0237/v.vc/fiche" TargetMode="External"/><Relationship Id="rId425" Type="http://schemas.openxmlformats.org/officeDocument/2006/relationships/hyperlink" Target="http://docinfogroupe.inetpsa.com/ead/doc/ref.DITV_ATAT07_0127/v.vc/fiche" TargetMode="External"/><Relationship Id="rId467" Type="http://schemas.openxmlformats.org/officeDocument/2006/relationships/hyperlink" Target="http://docinfogroupe.inetpsa.com/ead/doc/ref.01266_18_01135/v.vc/fiche" TargetMode="External"/><Relationship Id="rId271" Type="http://schemas.openxmlformats.org/officeDocument/2006/relationships/hyperlink" Target="http://docinfogroupe.inetpsa.com/ead/doc/ref.DITV_ATAT07_0285/v.vc/fiche" TargetMode="External"/><Relationship Id="rId24" Type="http://schemas.openxmlformats.org/officeDocument/2006/relationships/hyperlink" Target="http://docinfogroupe.inetpsa.com/ead/doc/ref.DITV_ATAT07_0110/v.vc/fiche" TargetMode="External"/><Relationship Id="rId66" Type="http://schemas.openxmlformats.org/officeDocument/2006/relationships/hyperlink" Target="http://docinfogroupe.inetpsa.com/ead/doc/ref.DITV_ATAT07_0211/v.vc/fiche" TargetMode="External"/><Relationship Id="rId131" Type="http://schemas.openxmlformats.org/officeDocument/2006/relationships/hyperlink" Target="http://docinfogroupe.inetpsa.com/ead/doc/ref.DPTA_DMOV06_0237/v.vc/fiche" TargetMode="External"/><Relationship Id="rId327" Type="http://schemas.openxmlformats.org/officeDocument/2006/relationships/hyperlink" Target="http://docinfogroupe.inetpsa.com/ead/doc/ref.DITV_ATAT07_0053/v.vc/fiche" TargetMode="External"/><Relationship Id="rId369" Type="http://schemas.openxmlformats.org/officeDocument/2006/relationships/hyperlink" Target="http://docinfogroupe.inetpsa.com/ead/doc/ref.DITV_ATAT07_0225/v.vc/fiche" TargetMode="External"/><Relationship Id="rId534" Type="http://schemas.openxmlformats.org/officeDocument/2006/relationships/hyperlink" Target="http://docinfogroupe.inetpsa.com/ead/doc/ref.01266_20_00216/v.vc/fiche" TargetMode="External"/><Relationship Id="rId576" Type="http://schemas.openxmlformats.org/officeDocument/2006/relationships/hyperlink" Target="http://docinfogroupe.inetpsa.com/ead/doc/ref.01266_22_00758/v.vc/fiche" TargetMode="External"/><Relationship Id="rId173" Type="http://schemas.openxmlformats.org/officeDocument/2006/relationships/hyperlink" Target="http://docinfogroupe.inetpsa.com/ead/doc/ref.DITV_ATAT07_0156/v.vc/fiche" TargetMode="External"/><Relationship Id="rId229" Type="http://schemas.openxmlformats.org/officeDocument/2006/relationships/hyperlink" Target="http://docinfogroupe.inetpsa.com/ead/doc/ref.01266_10_00199/v.vc/fiche" TargetMode="External"/><Relationship Id="rId380" Type="http://schemas.openxmlformats.org/officeDocument/2006/relationships/hyperlink" Target="http://docinfogroupe.inetpsa.com/ead/doc/ref.DITV_ATAT07_0190/v.vc/fiche" TargetMode="External"/><Relationship Id="rId436" Type="http://schemas.openxmlformats.org/officeDocument/2006/relationships/hyperlink" Target="http://docinfogroupe.inetpsa.com/ead/doc/ref.DITV_ATAT07_0181/v.vc/fiche" TargetMode="External"/><Relationship Id="rId601" Type="http://schemas.openxmlformats.org/officeDocument/2006/relationships/hyperlink" Target="http://docinfogroupe.inetpsa.com/ead/doc/ref.01266_23_00397/v.vc/fiche" TargetMode="External"/><Relationship Id="rId240" Type="http://schemas.openxmlformats.org/officeDocument/2006/relationships/hyperlink" Target="http://docinfogroupe.inetpsa.com/ead/doc/ref.DITV_ATAT07_0033/v.vc/fiche" TargetMode="External"/><Relationship Id="rId478" Type="http://schemas.openxmlformats.org/officeDocument/2006/relationships/hyperlink" Target="http://docinfogroupe.inetpsa.com/ead/doc/ref.01266_19_00606/v.vc/fiche" TargetMode="External"/><Relationship Id="rId35" Type="http://schemas.openxmlformats.org/officeDocument/2006/relationships/hyperlink" Target="http://docinfogroupe.inetpsa.com/ead/doc/ref.DITV_ATAT07_0082/v.vc/fiche" TargetMode="External"/><Relationship Id="rId77" Type="http://schemas.openxmlformats.org/officeDocument/2006/relationships/hyperlink" Target="http://docinfogroupe.inetpsa.com/ead/doc/ref.DPTA_DMOV06_0238/v.vc/fiche" TargetMode="External"/><Relationship Id="rId100" Type="http://schemas.openxmlformats.org/officeDocument/2006/relationships/hyperlink" Target="http://docinfogroupe.inetpsa.com/ead/doc/ref.01266_11_02185/v.vc/fiche" TargetMode="External"/><Relationship Id="rId282" Type="http://schemas.openxmlformats.org/officeDocument/2006/relationships/hyperlink" Target="http://docinfogroupe.inetpsa.com/ead/doc/ref.CMON_IMV08_0406/v.vc/fiche" TargetMode="External"/><Relationship Id="rId338" Type="http://schemas.openxmlformats.org/officeDocument/2006/relationships/hyperlink" Target="http://docinfogroupe.inetpsa.com/ead/doc/ref.DPTA_DMOV06_0246/v.vc/fiche" TargetMode="External"/><Relationship Id="rId503" Type="http://schemas.openxmlformats.org/officeDocument/2006/relationships/hyperlink" Target="http://docinfogroupe.inetpsa.com/ead/doc/ref.01266_19_00840/v.vc/fiche" TargetMode="External"/><Relationship Id="rId545" Type="http://schemas.openxmlformats.org/officeDocument/2006/relationships/hyperlink" Target="http://docinfogroupe.inetpsa.com/ead/doc/ref.01266_22_00002/v.vc/fiche" TargetMode="External"/><Relationship Id="rId587" Type="http://schemas.openxmlformats.org/officeDocument/2006/relationships/hyperlink" Target="http://docinfogroupe.inetpsa.com/ead/doc/ref.01266_22_00349/v.vc/fiche" TargetMode="External"/><Relationship Id="rId8" Type="http://schemas.openxmlformats.org/officeDocument/2006/relationships/hyperlink" Target="http://docinfogroupe.inetpsa.com/ead/doc/ref.01266_12_00448/v.vc/fiche" TargetMode="External"/><Relationship Id="rId142" Type="http://schemas.openxmlformats.org/officeDocument/2006/relationships/hyperlink" Target="http://docinfogroupe.inetpsa.com/ead/doc/ref.DPTA_DMOV06_0113/v.vc/fiche" TargetMode="External"/><Relationship Id="rId184" Type="http://schemas.openxmlformats.org/officeDocument/2006/relationships/hyperlink" Target="http://docinfogroupe.inetpsa.com/ead/doc/ref.DITV_ATAT07_0133/v.vc/fiche" TargetMode="External"/><Relationship Id="rId391" Type="http://schemas.openxmlformats.org/officeDocument/2006/relationships/hyperlink" Target="http://docinfogroupe.inetpsa.com/ead/doc/ref.DITV_ATAT07_0026/v.vc/fiche" TargetMode="External"/><Relationship Id="rId405" Type="http://schemas.openxmlformats.org/officeDocument/2006/relationships/hyperlink" Target="http://docinfogroupe.inetpsa.com/ead/doc/ref.DITV_ATAT07_0148/v.vc/fiche" TargetMode="External"/><Relationship Id="rId447" Type="http://schemas.openxmlformats.org/officeDocument/2006/relationships/hyperlink" Target="http://docinfogroupe.inetpsa.com/ead/doc/ref.01266_17_00136/v.vc/fiche" TargetMode="External"/><Relationship Id="rId612" Type="http://schemas.openxmlformats.org/officeDocument/2006/relationships/hyperlink" Target="http://docinfogroupe.inetpsa.com/ead/doc/ref.01266_23_00373/v.vc/fiche" TargetMode="External"/><Relationship Id="rId251" Type="http://schemas.openxmlformats.org/officeDocument/2006/relationships/hyperlink" Target="http://docinfogroupe.inetpsa.com/ead/doc/ref.DITV_ATAT07_0167/v.vc/fiche" TargetMode="External"/><Relationship Id="rId489" Type="http://schemas.openxmlformats.org/officeDocument/2006/relationships/hyperlink" Target="http://docinfogroupe.inetpsa.com/ead/doc/ref.01266_19_00815/v.vc/fiche" TargetMode="External"/><Relationship Id="rId46" Type="http://schemas.openxmlformats.org/officeDocument/2006/relationships/hyperlink" Target="http://docinfogroupe.inetpsa.com/ead/doc/ref.DITV_ATAT07_0240/v.vc/fiche" TargetMode="External"/><Relationship Id="rId293" Type="http://schemas.openxmlformats.org/officeDocument/2006/relationships/hyperlink" Target="http://docinfogroupe.inetpsa.com/ead/doc/ref.DITV_ATAT07_0088/v.vc/fiche" TargetMode="External"/><Relationship Id="rId307" Type="http://schemas.openxmlformats.org/officeDocument/2006/relationships/hyperlink" Target="http://docinfogroupe.inetpsa.com/ead/doc/ref.DITV_ATAT07_0090/v.vc/fiche" TargetMode="External"/><Relationship Id="rId349" Type="http://schemas.openxmlformats.org/officeDocument/2006/relationships/hyperlink" Target="http://docinfogroupe.inetpsa.com/ead/doc/ref.DITV_ATAT07_0054/v.vc/fiche" TargetMode="External"/><Relationship Id="rId514" Type="http://schemas.openxmlformats.org/officeDocument/2006/relationships/hyperlink" Target="http://docinfogroupe.inetpsa.com/ead/doc/ref.01266_20_00771/v.vc/fiche" TargetMode="External"/><Relationship Id="rId556" Type="http://schemas.openxmlformats.org/officeDocument/2006/relationships/hyperlink" Target="https://docinfogroupe.stellantis.com/ead/doc/ref.01266_22_00525/v.vc/fiche" TargetMode="External"/><Relationship Id="rId88" Type="http://schemas.openxmlformats.org/officeDocument/2006/relationships/hyperlink" Target="http://docinfogroupe.inetpsa.com/ead/doc/ref.DITV_ATAT07_0128/v.vc/fiche" TargetMode="External"/><Relationship Id="rId111" Type="http://schemas.openxmlformats.org/officeDocument/2006/relationships/hyperlink" Target="http://docinfogroupe.inetpsa.com/ead/doc/ref.DITV_ATAT07_0014/v.vc/fiche" TargetMode="External"/><Relationship Id="rId153" Type="http://schemas.openxmlformats.org/officeDocument/2006/relationships/hyperlink" Target="http://docinfogroupe.inetpsa.com/ead/doc/ref.DPTA_DMOV06_0066/v.vc/fiche" TargetMode="External"/><Relationship Id="rId195" Type="http://schemas.openxmlformats.org/officeDocument/2006/relationships/hyperlink" Target="http://docinfogroupe.inetpsa.com/ead/doc/ref.DPTA_DMOV06_0074/v.vc/fiche" TargetMode="External"/><Relationship Id="rId209" Type="http://schemas.openxmlformats.org/officeDocument/2006/relationships/hyperlink" Target="http://docinfogroupe.inetpsa.com/ead/doc/ref.DITV_ATAT07_0235/v.vc/fiche" TargetMode="External"/><Relationship Id="rId360" Type="http://schemas.openxmlformats.org/officeDocument/2006/relationships/hyperlink" Target="http://docinfogroupe.inetpsa.com/ead/doc/ref.DPTA_DMOV06_0138/v.vc/fiche" TargetMode="External"/><Relationship Id="rId416" Type="http://schemas.openxmlformats.org/officeDocument/2006/relationships/hyperlink" Target="http://docinfogroupe.inetpsa.com/ead/doc/ref.01266_11_00285/v.vc/fiche" TargetMode="External"/><Relationship Id="rId598" Type="http://schemas.openxmlformats.org/officeDocument/2006/relationships/hyperlink" Target="http://docinfogroupe.inetpsa.com/ead/doc/ref.01266_23_00394/v.vc/fiche" TargetMode="External"/><Relationship Id="rId220" Type="http://schemas.openxmlformats.org/officeDocument/2006/relationships/hyperlink" Target="http://docinfogroupe.inetpsa.com/ead/doc/ref.DITV_ATAT07_0196/v.vc/fiche" TargetMode="External"/><Relationship Id="rId458" Type="http://schemas.openxmlformats.org/officeDocument/2006/relationships/hyperlink" Target="http://docinfogroupe.inetpsa.com/ead/doc/ref.01266_16_00102/v.vc/fiche" TargetMode="External"/><Relationship Id="rId623" Type="http://schemas.openxmlformats.org/officeDocument/2006/relationships/hyperlink" Target="http://docinfogroupe.inetpsa.com/ead/doc/ref.01266_23_00459/v.vc/fiche" TargetMode="External"/><Relationship Id="rId15" Type="http://schemas.openxmlformats.org/officeDocument/2006/relationships/hyperlink" Target="http://docinfogroupe.inetpsa.com/ead/doc/ref.DITV_ATAT07_0159/v.vc/fiche" TargetMode="External"/><Relationship Id="rId57" Type="http://schemas.openxmlformats.org/officeDocument/2006/relationships/hyperlink" Target="http://docinfogroupe.inetpsa.com/ead/doc/ref.DITV_ATAT07_0092/v.vc/fiche" TargetMode="External"/><Relationship Id="rId262" Type="http://schemas.openxmlformats.org/officeDocument/2006/relationships/hyperlink" Target="http://docinfogroupe.inetpsa.com/ead/doc/ref.DITV_ATAT07_0202/v.vc/fiche" TargetMode="External"/><Relationship Id="rId318" Type="http://schemas.openxmlformats.org/officeDocument/2006/relationships/hyperlink" Target="http://docinfogroupe.inetpsa.com/ead/doc/ref.DITV_ATAT07_0021/v.vc/fiche" TargetMode="External"/><Relationship Id="rId525" Type="http://schemas.openxmlformats.org/officeDocument/2006/relationships/hyperlink" Target="http://docinfogroupe.inetpsa.com/ead/doc/ref.01266_20_00222/v.vc/fiche" TargetMode="External"/><Relationship Id="rId567" Type="http://schemas.openxmlformats.org/officeDocument/2006/relationships/hyperlink" Target="http://docinfogroupe.inetpsa.com/ead/doc/ref.01266_22_00764/v.vc/fiche" TargetMode="External"/><Relationship Id="rId99" Type="http://schemas.openxmlformats.org/officeDocument/2006/relationships/hyperlink" Target="http://docinfogroupe.inetpsa.com/ead/doc/ref.DITV_ATAT07_0155/v.vc/fiche" TargetMode="External"/><Relationship Id="rId122" Type="http://schemas.openxmlformats.org/officeDocument/2006/relationships/hyperlink" Target="http://docinfogroupe.inetpsa.com/ead/doc/ref.DITV_ATAT07_0011/v.vc/fiche" TargetMode="External"/><Relationship Id="rId164" Type="http://schemas.openxmlformats.org/officeDocument/2006/relationships/hyperlink" Target="http://docinfogroupe.inetpsa.com/ead/doc/ref.DPTA_DMOV06_0096/v.vc/fiche" TargetMode="External"/><Relationship Id="rId371" Type="http://schemas.openxmlformats.org/officeDocument/2006/relationships/hyperlink" Target="http://docinfogroupe.inetpsa.com/ead/doc/ref.DITV_ATAT07_0035/v.vc/fiche" TargetMode="External"/><Relationship Id="rId427" Type="http://schemas.openxmlformats.org/officeDocument/2006/relationships/hyperlink" Target="http://docinfogroupe.inetpsa.com/ead/doc/ref.DITV_ATAT07_0150/v.vc/fiche" TargetMode="External"/><Relationship Id="rId469" Type="http://schemas.openxmlformats.org/officeDocument/2006/relationships/hyperlink" Target="http://docinfogroupe.inetpsa.com/ead/doc/ref.01266_19_00169/v.vc/fiche" TargetMode="External"/><Relationship Id="rId26" Type="http://schemas.openxmlformats.org/officeDocument/2006/relationships/hyperlink" Target="http://docinfogroupe.inetpsa.com/ead/doc/ref.01266_11_00202/v.vc/fiche" TargetMode="External"/><Relationship Id="rId231" Type="http://schemas.openxmlformats.org/officeDocument/2006/relationships/hyperlink" Target="http://docinfogroupe.inetpsa.com/ead/doc/ref.DPTA_DMOV05_1013/v.vc/fiche" TargetMode="External"/><Relationship Id="rId273" Type="http://schemas.openxmlformats.org/officeDocument/2006/relationships/hyperlink" Target="http://docinfogroupe.inetpsa.com/ead/doc/ref.DITV_ATAT07_0104/v.vc/fiche" TargetMode="External"/><Relationship Id="rId329" Type="http://schemas.openxmlformats.org/officeDocument/2006/relationships/hyperlink" Target="http://docinfogroupe.inetpsa.com/ead/doc/ref.01266_13_00135/v.vc/fiche" TargetMode="External"/><Relationship Id="rId480" Type="http://schemas.openxmlformats.org/officeDocument/2006/relationships/hyperlink" Target="http://docinfogroupe.inetpsa.com/ead/doc/ref.01266_19_00538/v.vc/fiche" TargetMode="External"/><Relationship Id="rId536" Type="http://schemas.openxmlformats.org/officeDocument/2006/relationships/hyperlink" Target="http://docinfogroupe.inetpsa.com/ead/doc/ref.01266_19_00781/v.vc/fiche" TargetMode="External"/><Relationship Id="rId68" Type="http://schemas.openxmlformats.org/officeDocument/2006/relationships/hyperlink" Target="http://docinfogroupe.inetpsa.com/ead/doc/ref.DITV_ATAT07_0093/v.vc/fiche" TargetMode="External"/><Relationship Id="rId133" Type="http://schemas.openxmlformats.org/officeDocument/2006/relationships/hyperlink" Target="http://docinfogroupe.inetpsa.com/ead/doc/ref.DPTA_DMOV06_0109/v.vc/fiche" TargetMode="External"/><Relationship Id="rId175" Type="http://schemas.openxmlformats.org/officeDocument/2006/relationships/hyperlink" Target="http://docinfogroupe.inetpsa.com/ead/doc/ref.DITV_ATAT07_0015/v.vc/fiche" TargetMode="External"/><Relationship Id="rId340" Type="http://schemas.openxmlformats.org/officeDocument/2006/relationships/hyperlink" Target="http://docinfogroupe.inetpsa.com/ead/doc/ref.DPTA_DMOV06_0067/v.vc/fiche" TargetMode="External"/><Relationship Id="rId578" Type="http://schemas.openxmlformats.org/officeDocument/2006/relationships/hyperlink" Target="http://docinfogroupe.inetpsa.com/ead/doc/ref.01266_22_00760/v.vc/fiche" TargetMode="External"/><Relationship Id="rId200" Type="http://schemas.openxmlformats.org/officeDocument/2006/relationships/hyperlink" Target="http://docinfogroupe.inetpsa.com/ead/doc/ref.DITV_ATAT07_0149/v.vc/fiche" TargetMode="External"/><Relationship Id="rId382" Type="http://schemas.openxmlformats.org/officeDocument/2006/relationships/hyperlink" Target="http://docinfogroupe.inetpsa.com/ead/doc/ref.DPTA_DMOV06_0022/v.vc/fiche" TargetMode="External"/><Relationship Id="rId438" Type="http://schemas.openxmlformats.org/officeDocument/2006/relationships/hyperlink" Target="http://docinfogroupe.inetpsa.com/ead/doc/ref.01266_16_00711/v.vc/fiche" TargetMode="External"/><Relationship Id="rId603" Type="http://schemas.openxmlformats.org/officeDocument/2006/relationships/hyperlink" Target="http://docinfogroupe.inetpsa.com/ead/doc/ref.01266_23_00335/v.vc/fiche" TargetMode="External"/><Relationship Id="rId242" Type="http://schemas.openxmlformats.org/officeDocument/2006/relationships/hyperlink" Target="http://docinfogroupe.inetpsa.com/ead/doc/ref.CMON_IMV08_0410/v.vc/fiche" TargetMode="External"/><Relationship Id="rId284" Type="http://schemas.openxmlformats.org/officeDocument/2006/relationships/hyperlink" Target="http://docinfogroupe.inetpsa.com/ead/doc/ref.DPTA_DMOV06_0075/v.vc/fiche" TargetMode="External"/><Relationship Id="rId491" Type="http://schemas.openxmlformats.org/officeDocument/2006/relationships/hyperlink" Target="http://docinfogroupe.inetpsa.com/ead/doc/ref.01266_19_00407/v.vc/fiche" TargetMode="External"/><Relationship Id="rId505" Type="http://schemas.openxmlformats.org/officeDocument/2006/relationships/hyperlink" Target="http://docinfogroupe.inetpsa.com/ead/doc/ref.01266_19_00842/v.vc/fiche" TargetMode="External"/><Relationship Id="rId37" Type="http://schemas.openxmlformats.org/officeDocument/2006/relationships/hyperlink" Target="http://docinfogroupe.inetpsa.com/ead/doc/ref.DITV_ATAT07_0205/v.vc/fiche" TargetMode="External"/><Relationship Id="rId79" Type="http://schemas.openxmlformats.org/officeDocument/2006/relationships/hyperlink" Target="http://docinfogroupe.inetpsa.com/ead/doc/ref.DPTA_DMOV05_0938/v.vc/fiche" TargetMode="External"/><Relationship Id="rId102" Type="http://schemas.openxmlformats.org/officeDocument/2006/relationships/hyperlink" Target="http://docinfogroupe.inetpsa.com/ead/doc/ref.DITV_ATAT07_0140/v.vc/fiche" TargetMode="External"/><Relationship Id="rId144" Type="http://schemas.openxmlformats.org/officeDocument/2006/relationships/hyperlink" Target="http://docinfogroupe.inetpsa.com/ead/doc/ref.01266_12_00993/v.vc/fiche" TargetMode="External"/><Relationship Id="rId547" Type="http://schemas.openxmlformats.org/officeDocument/2006/relationships/hyperlink" Target="http://docinfogroupe.inetpsa.com/ead/doc/ref.01266_22_00517/v.vc/fiche" TargetMode="External"/><Relationship Id="rId589" Type="http://schemas.openxmlformats.org/officeDocument/2006/relationships/hyperlink" Target="http://docinfogroupe.inetpsa.com/ead/doc/ref.01266_19_00598/v.vc/fiche" TargetMode="External"/><Relationship Id="rId90" Type="http://schemas.openxmlformats.org/officeDocument/2006/relationships/hyperlink" Target="http://docinfogroupe.inetpsa.com/ead/doc/ref.DPTA_DMOV06_0047/v.vc/fiche" TargetMode="External"/><Relationship Id="rId186" Type="http://schemas.openxmlformats.org/officeDocument/2006/relationships/hyperlink" Target="http://docinfogroupe.inetpsa.com/ead/doc/ref.DPTA_DMOV06_0119/v.vc/fiche" TargetMode="External"/><Relationship Id="rId351" Type="http://schemas.openxmlformats.org/officeDocument/2006/relationships/hyperlink" Target="http://docinfogroupe.inetpsa.com/ead/doc/ref.DPTA_DMOV06_0087/v.vc/fiche" TargetMode="External"/><Relationship Id="rId393" Type="http://schemas.openxmlformats.org/officeDocument/2006/relationships/hyperlink" Target="http://docinfogroupe.inetpsa.com/ead/doc/ref.01266_10_00732/v.vc/fiche" TargetMode="External"/><Relationship Id="rId407" Type="http://schemas.openxmlformats.org/officeDocument/2006/relationships/hyperlink" Target="http://docinfogroupe.inetpsa.com/ead/doc/ref.01266_13_00325/v.vc/fiche" TargetMode="External"/><Relationship Id="rId449" Type="http://schemas.openxmlformats.org/officeDocument/2006/relationships/hyperlink" Target="http://docinfogroupe.inetpsa.com/ead/doc/ref.01266_16_01594/v.vc/fiche" TargetMode="External"/><Relationship Id="rId614" Type="http://schemas.openxmlformats.org/officeDocument/2006/relationships/hyperlink" Target="http://docinfogroupe.inetpsa.com/ead/doc/ref.01266_23_00371/v.vc/fiche" TargetMode="External"/><Relationship Id="rId211" Type="http://schemas.openxmlformats.org/officeDocument/2006/relationships/hyperlink" Target="http://docinfogroupe.inetpsa.com/ead/doc/ref.DPTA_DMOV06_0151/v.vc/fiche" TargetMode="External"/><Relationship Id="rId253" Type="http://schemas.openxmlformats.org/officeDocument/2006/relationships/hyperlink" Target="http://docinfogroupe.inetpsa.com/ead/doc/ref.DITV_ATAT07_0010/v.vc/fiche" TargetMode="External"/><Relationship Id="rId295" Type="http://schemas.openxmlformats.org/officeDocument/2006/relationships/hyperlink" Target="http://docinfogroupe.inetpsa.com/ead/doc/ref.DITV_ATAT07_0041/v.vc/fiche" TargetMode="External"/><Relationship Id="rId309" Type="http://schemas.openxmlformats.org/officeDocument/2006/relationships/hyperlink" Target="http://docinfogroupe.inetpsa.com/ead/doc/ref.DPTA_DMOV06_0134/v.vc/fiche" TargetMode="External"/><Relationship Id="rId460" Type="http://schemas.openxmlformats.org/officeDocument/2006/relationships/hyperlink" Target="http://docinfogroupe.inetpsa.com/ead/doc/document_view.action?ref=01266_17_01156&amp;v=vc" TargetMode="External"/><Relationship Id="rId516" Type="http://schemas.openxmlformats.org/officeDocument/2006/relationships/hyperlink" Target="http://docinfogroupe.inetpsa.com/ead/doc/ref.01266_19_00847/v.vc/fiche" TargetMode="External"/><Relationship Id="rId48" Type="http://schemas.openxmlformats.org/officeDocument/2006/relationships/hyperlink" Target="http://docinfogroupe.inetpsa.com/ead/doc/ref.DITV_ATAT07_0238/v.vc/fiche" TargetMode="External"/><Relationship Id="rId113" Type="http://schemas.openxmlformats.org/officeDocument/2006/relationships/hyperlink" Target="http://docinfogroupe.inetpsa.com/ead/doc/ref.01266_12_00789/v.vc/fiche" TargetMode="External"/><Relationship Id="rId320" Type="http://schemas.openxmlformats.org/officeDocument/2006/relationships/hyperlink" Target="http://docinfogroupe.inetpsa.com/ead/doc/ref.DITV_ATAT07_0226/v.vc/fiche" TargetMode="External"/><Relationship Id="rId558" Type="http://schemas.openxmlformats.org/officeDocument/2006/relationships/hyperlink" Target="http://docinfogroupe.inetpsa.com/ead/doc/ref.01266_22_00529/v.vc/fiche" TargetMode="External"/><Relationship Id="rId155" Type="http://schemas.openxmlformats.org/officeDocument/2006/relationships/hyperlink" Target="http://docinfogroupe.inetpsa.com/ead/doc/ref.DITV_ATAT07_0245/v.vc/fiche" TargetMode="External"/><Relationship Id="rId197" Type="http://schemas.openxmlformats.org/officeDocument/2006/relationships/hyperlink" Target="http://docinfogroupe.inetpsa.com/ead/doc/ref.DITV_ATAT07_0166/v.vc/fiche" TargetMode="External"/><Relationship Id="rId362" Type="http://schemas.openxmlformats.org/officeDocument/2006/relationships/hyperlink" Target="http://docinfogroupe.inetpsa.com/ead/doc/ref.DITV_ATAT07_0241/v.vc/fiche" TargetMode="External"/><Relationship Id="rId418" Type="http://schemas.openxmlformats.org/officeDocument/2006/relationships/hyperlink" Target="http://docinfogroupe.inetpsa.com/ead/doc/ref.01266_10_00637/v.vc/fiche" TargetMode="External"/><Relationship Id="rId625" Type="http://schemas.openxmlformats.org/officeDocument/2006/relationships/hyperlink" Target="http://docinfogroupe.inetpsa.com/ead/doc/ref.01266_23_00453/v.vc/fich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docinfogroupe.inetpsa.com/ead/doc/ref.01266_21_00091/v.vc/fich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docinfogroupe.inetpsa.com/ead/doc/ref.01266_23_00373/v.vc/fiche" TargetMode="External"/><Relationship Id="rId13" Type="http://schemas.openxmlformats.org/officeDocument/2006/relationships/hyperlink" Target="http://docinfogroupe.inetpsa.com/ead/doc/ref.01266_23_00327/v.vc/fiche" TargetMode="External"/><Relationship Id="rId18" Type="http://schemas.openxmlformats.org/officeDocument/2006/relationships/hyperlink" Target="http://docinfogroupe.inetpsa.com/ead/doc/ref.01266_23_00335/v.vc/fiche" TargetMode="External"/><Relationship Id="rId26" Type="http://schemas.openxmlformats.org/officeDocument/2006/relationships/hyperlink" Target="http://docinfogroupe.inetpsa.com/ead/doc/ref.01266_23_00453/v.vc/fiche" TargetMode="External"/><Relationship Id="rId3" Type="http://schemas.openxmlformats.org/officeDocument/2006/relationships/hyperlink" Target="http://docinfogroupe.inetpsa.com/ead/doc/ref.DITV_ATAT07_0090/v.vc/fiche" TargetMode="External"/><Relationship Id="rId21" Type="http://schemas.openxmlformats.org/officeDocument/2006/relationships/hyperlink" Target="http://docinfogroupe.inetpsa.com/ead/doc/ref.01266_23_00322/v.vc/fiche" TargetMode="External"/><Relationship Id="rId7" Type="http://schemas.openxmlformats.org/officeDocument/2006/relationships/hyperlink" Target="http://docinfogroupe.inetpsa.com/ead/doc/ref.01266_23_00374/v.vc/fiche" TargetMode="External"/><Relationship Id="rId12" Type="http://schemas.openxmlformats.org/officeDocument/2006/relationships/hyperlink" Target="http://docinfogroupe.inetpsa.com/ead/doc/ref.01266_23_00327/v.vc/fiche" TargetMode="External"/><Relationship Id="rId17" Type="http://schemas.openxmlformats.org/officeDocument/2006/relationships/hyperlink" Target="http://docinfogroupe.inetpsa.com/ead/doc/ref.01266_23_00334/v.vc/fiche" TargetMode="External"/><Relationship Id="rId25" Type="http://schemas.openxmlformats.org/officeDocument/2006/relationships/hyperlink" Target="http://docinfogroupe.inetpsa.com/ead/doc/ref.01266_23_00457/v.vc/fiche" TargetMode="External"/><Relationship Id="rId2" Type="http://schemas.openxmlformats.org/officeDocument/2006/relationships/hyperlink" Target="http://docinfogroupe.inetpsa.com/ead/doc/ref.01266_10_00643/v.vc/fiche" TargetMode="External"/><Relationship Id="rId16" Type="http://schemas.openxmlformats.org/officeDocument/2006/relationships/hyperlink" Target="http://docinfogroupe.inetpsa.com/ead/doc/ref.01266_23_00334/v.vc/fiche" TargetMode="External"/><Relationship Id="rId20" Type="http://schemas.openxmlformats.org/officeDocument/2006/relationships/hyperlink" Target="http://docinfogroupe.inetpsa.com/ead/doc/ref.01266_22_00764/v.vc/fiche" TargetMode="External"/><Relationship Id="rId29" Type="http://schemas.openxmlformats.org/officeDocument/2006/relationships/printerSettings" Target="../printerSettings/printerSettings4.bin"/><Relationship Id="rId1" Type="http://schemas.openxmlformats.org/officeDocument/2006/relationships/hyperlink" Target="http://docinfogroupe.inetpsa.com/ead/doc/ref.01266_10_00643/v.vc/fiche" TargetMode="External"/><Relationship Id="rId6" Type="http://schemas.openxmlformats.org/officeDocument/2006/relationships/hyperlink" Target="http://docinfogroupe.inetpsa.com/ead/doc/ref.01266_23_00375/v.vc/fiche" TargetMode="External"/><Relationship Id="rId11" Type="http://schemas.openxmlformats.org/officeDocument/2006/relationships/hyperlink" Target="http://docinfogroupe.inetpsa.com/ead/doc/ref.01266_23_00327/v.vc/fiche" TargetMode="External"/><Relationship Id="rId24" Type="http://schemas.openxmlformats.org/officeDocument/2006/relationships/hyperlink" Target="http://docinfogroupe.inetpsa.com/ead/doc/ref.01266_23_00457/v.vc/fiche" TargetMode="External"/><Relationship Id="rId5" Type="http://schemas.openxmlformats.org/officeDocument/2006/relationships/hyperlink" Target="http://docinfogroupe.inetpsa.com/ead/doc/ref.01266_23_00396/v.vc/fiche" TargetMode="External"/><Relationship Id="rId15" Type="http://schemas.openxmlformats.org/officeDocument/2006/relationships/hyperlink" Target="http://docinfogroupe.inetpsa.com/ead/doc/ref.01266_23_00328/v.vc/fiche" TargetMode="External"/><Relationship Id="rId23" Type="http://schemas.openxmlformats.org/officeDocument/2006/relationships/hyperlink" Target="http://docinfogroupe.inetpsa.com/ead/doc/ref.01266_23_00459/v.vc/fiche" TargetMode="External"/><Relationship Id="rId28" Type="http://schemas.openxmlformats.org/officeDocument/2006/relationships/hyperlink" Target="http://docinfogroupe.inetpsa.com/ead/doc/ref.01266_23_00456/v.vc/fiche" TargetMode="External"/><Relationship Id="rId10" Type="http://schemas.openxmlformats.org/officeDocument/2006/relationships/hyperlink" Target="http://docinfogroupe.inetpsa.com/ead/doc/ref.01266_23_00372/v.vc/fiche" TargetMode="External"/><Relationship Id="rId19" Type="http://schemas.openxmlformats.org/officeDocument/2006/relationships/hyperlink" Target="http://docinfogroupe.inetpsa.com/ead/doc/ref.01266_23_00370/v.vc/fiche" TargetMode="External"/><Relationship Id="rId4" Type="http://schemas.openxmlformats.org/officeDocument/2006/relationships/hyperlink" Target="http://docinfogroupe.inetpsa.com/ead/doc/ref.01266_23_00396/v.vc/fiche" TargetMode="External"/><Relationship Id="rId9" Type="http://schemas.openxmlformats.org/officeDocument/2006/relationships/hyperlink" Target="http://docinfogroupe.inetpsa.com/ead/doc/ref.01266_23_00373/v.vc/fiche" TargetMode="External"/><Relationship Id="rId14" Type="http://schemas.openxmlformats.org/officeDocument/2006/relationships/hyperlink" Target="http://docinfogroupe.inetpsa.com/ead/doc/ref.01266_23_00328/v.vc/fiche" TargetMode="External"/><Relationship Id="rId22" Type="http://schemas.openxmlformats.org/officeDocument/2006/relationships/hyperlink" Target="http://docinfogroupe.inetpsa.com/ead/doc/ref.01266_22_00141/v.vc/fiche" TargetMode="External"/><Relationship Id="rId27" Type="http://schemas.openxmlformats.org/officeDocument/2006/relationships/hyperlink" Target="http://docinfogroupe.inetpsa.com/ead/doc/ref.01266_23_00458/v.vc/fi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Z792"/>
  <sheetViews>
    <sheetView showGridLines="0" tabSelected="1" zoomScale="110" zoomScaleNormal="110" workbookViewId="0">
      <pane xSplit="4" ySplit="2" topLeftCell="E258" activePane="bottomRight" state="frozen"/>
      <selection pane="topRight" activeCell="C1" sqref="C1"/>
      <selection pane="bottomLeft" activeCell="A4" sqref="A4"/>
      <selection pane="bottomRight" activeCell="E262" sqref="E262"/>
    </sheetView>
  </sheetViews>
  <sheetFormatPr baseColWidth="10" defaultColWidth="11.5703125" defaultRowHeight="12.75" x14ac:dyDescent="0.25"/>
  <cols>
    <col min="1" max="2" width="3.7109375" style="3" hidden="1" customWidth="1"/>
    <col min="3" max="3" width="4" style="35" hidden="1" customWidth="1"/>
    <col min="4" max="4" width="30" style="6" customWidth="1"/>
    <col min="5" max="5" width="45.7109375" style="7" customWidth="1"/>
    <col min="6" max="6" width="38.140625" style="8" customWidth="1"/>
    <col min="7" max="7" width="7.42578125" style="6" customWidth="1"/>
    <col min="8" max="8" width="6.28515625" style="6" customWidth="1"/>
    <col min="9" max="9" width="10.5703125" style="6" customWidth="1"/>
    <col min="10" max="10" width="12" style="6" customWidth="1"/>
    <col min="11" max="11" width="12.140625" style="6" customWidth="1"/>
    <col min="12" max="12" width="15.28515625" style="8" customWidth="1"/>
    <col min="13" max="13" width="7.7109375" style="33" customWidth="1"/>
    <col min="14" max="14" width="7.7109375" style="34" customWidth="1"/>
    <col min="15" max="15" width="11.5703125" style="3"/>
    <col min="16" max="16" width="14.140625" style="3" customWidth="1"/>
    <col min="17" max="17" width="13.42578125" style="3" customWidth="1"/>
    <col min="18" max="16384" width="11.5703125" style="3"/>
  </cols>
  <sheetData>
    <row r="1" spans="1:99" ht="14.45" customHeight="1" x14ac:dyDescent="0.25">
      <c r="A1" s="86" t="s">
        <v>2760</v>
      </c>
      <c r="B1" s="86" t="s">
        <v>2761</v>
      </c>
      <c r="C1" s="86" t="s">
        <v>2363</v>
      </c>
      <c r="D1" s="2"/>
      <c r="E1" s="112" t="s">
        <v>1192</v>
      </c>
      <c r="F1" s="113"/>
      <c r="G1" s="113"/>
      <c r="H1" s="113"/>
      <c r="I1" s="113"/>
      <c r="J1" s="111" t="s">
        <v>1193</v>
      </c>
      <c r="K1" s="111"/>
      <c r="L1" s="111"/>
    </row>
    <row r="2" spans="1:99" ht="69.75" customHeight="1" x14ac:dyDescent="0.25">
      <c r="A2" s="86"/>
      <c r="B2" s="86"/>
      <c r="C2" s="86"/>
      <c r="D2" s="4" t="s">
        <v>1191</v>
      </c>
      <c r="E2" s="4" t="s">
        <v>0</v>
      </c>
      <c r="F2" s="19" t="s">
        <v>1</v>
      </c>
      <c r="G2" s="4" t="s">
        <v>2044</v>
      </c>
      <c r="H2" s="4" t="s">
        <v>534</v>
      </c>
      <c r="I2" s="4" t="s">
        <v>535</v>
      </c>
      <c r="J2" s="5" t="s">
        <v>536</v>
      </c>
      <c r="K2" s="4" t="s">
        <v>537</v>
      </c>
      <c r="L2" s="4" t="s">
        <v>538</v>
      </c>
      <c r="M2" s="109" t="s">
        <v>1976</v>
      </c>
      <c r="N2" s="110" t="s">
        <v>2364</v>
      </c>
      <c r="O2" s="109" t="s">
        <v>2856</v>
      </c>
      <c r="P2" s="109" t="s">
        <v>2864</v>
      </c>
      <c r="Q2" s="110" t="s">
        <v>2866</v>
      </c>
      <c r="R2" s="114" t="s">
        <v>2868</v>
      </c>
    </row>
    <row r="3" spans="1:99" ht="15" customHeight="1" x14ac:dyDescent="0.25">
      <c r="A3" s="69" t="s">
        <v>2087</v>
      </c>
      <c r="D3" s="1" t="s">
        <v>347</v>
      </c>
      <c r="E3" s="15" t="s">
        <v>625</v>
      </c>
      <c r="F3" s="20" t="s">
        <v>1205</v>
      </c>
      <c r="G3" s="9" t="s">
        <v>1206</v>
      </c>
      <c r="H3" s="9" t="s">
        <v>593</v>
      </c>
      <c r="I3" s="9" t="s">
        <v>2122</v>
      </c>
      <c r="J3" s="10">
        <v>39987</v>
      </c>
      <c r="K3" s="10">
        <v>45173</v>
      </c>
      <c r="L3" s="9" t="s">
        <v>1209</v>
      </c>
      <c r="M3" s="33" t="str">
        <f>IF(ISNA(VLOOKUP(D3,'[3]Table APOQUA files'!$B:$B,1,FALSE)),"NO","YES")</f>
        <v>YES</v>
      </c>
      <c r="N3" s="33" t="str">
        <f>IF(ISNA(VLOOKUP(D3,'Base PFR table'!K:K,1,FALSE)),"NO","YES")</f>
        <v>NO</v>
      </c>
      <c r="O3" s="35" t="s">
        <v>2858</v>
      </c>
      <c r="P3" s="35" t="s">
        <v>2858</v>
      </c>
    </row>
    <row r="4" spans="1:99" ht="15" customHeight="1" x14ac:dyDescent="0.25">
      <c r="A4" s="69" t="s">
        <v>2087</v>
      </c>
      <c r="D4" s="1" t="s">
        <v>168</v>
      </c>
      <c r="E4" s="15" t="s">
        <v>626</v>
      </c>
      <c r="F4" s="20" t="s">
        <v>1210</v>
      </c>
      <c r="G4" s="9" t="s">
        <v>1211</v>
      </c>
      <c r="H4" s="9" t="s">
        <v>1169</v>
      </c>
      <c r="I4" s="9" t="s">
        <v>2125</v>
      </c>
      <c r="J4" s="10">
        <v>39989</v>
      </c>
      <c r="K4" s="10">
        <v>43011</v>
      </c>
      <c r="L4" s="9" t="s">
        <v>2843</v>
      </c>
      <c r="M4" s="33" t="str">
        <f>IF(ISNA(VLOOKUP(D4,'[3]Table APOQUA files'!$B:$B,1,FALSE)),"NO","YES")</f>
        <v>YES</v>
      </c>
      <c r="N4" s="33" t="str">
        <f>IF(ISNA(VLOOKUP(D4,'Base PFR table'!K:K,1,FALSE)),"NO","YES")</f>
        <v>NO</v>
      </c>
      <c r="O4" s="35" t="s">
        <v>2858</v>
      </c>
      <c r="P4" s="35" t="s">
        <v>2858</v>
      </c>
    </row>
    <row r="5" spans="1:99" ht="15" customHeight="1" x14ac:dyDescent="0.25">
      <c r="A5" s="69" t="s">
        <v>2087</v>
      </c>
      <c r="C5" s="38"/>
      <c r="D5" s="1" t="s">
        <v>201</v>
      </c>
      <c r="E5" s="15" t="s">
        <v>627</v>
      </c>
      <c r="F5" s="20" t="s">
        <v>1212</v>
      </c>
      <c r="G5" s="9" t="s">
        <v>1213</v>
      </c>
      <c r="H5" s="9" t="s">
        <v>593</v>
      </c>
      <c r="I5" s="9" t="s">
        <v>2126</v>
      </c>
      <c r="J5" s="10">
        <v>39989</v>
      </c>
      <c r="K5" s="10">
        <v>45209</v>
      </c>
      <c r="L5" s="10" t="s">
        <v>1207</v>
      </c>
      <c r="M5" s="33" t="str">
        <f>IF(ISNA(VLOOKUP(D5,'[3]Table APOQUA files'!$B:$B,1,FALSE)),"NO","YES")</f>
        <v>YES</v>
      </c>
      <c r="N5" s="33" t="str">
        <f>IF(ISNA(VLOOKUP(D5,'Base PFR table'!K:K,1,FALSE)),"NO","YES")</f>
        <v>YES</v>
      </c>
      <c r="O5" s="35" t="s">
        <v>2858</v>
      </c>
      <c r="P5" s="35" t="s">
        <v>2858</v>
      </c>
    </row>
    <row r="6" spans="1:99" s="70" customFormat="1" ht="15" customHeight="1" x14ac:dyDescent="0.25">
      <c r="A6" s="70" t="s">
        <v>2087</v>
      </c>
      <c r="C6" s="37"/>
      <c r="D6" s="14" t="s">
        <v>448</v>
      </c>
      <c r="E6" s="15" t="s">
        <v>628</v>
      </c>
      <c r="F6" s="22" t="s">
        <v>1215</v>
      </c>
      <c r="G6" s="16" t="s">
        <v>1206</v>
      </c>
      <c r="H6" s="16" t="s">
        <v>593</v>
      </c>
      <c r="I6" s="16" t="s">
        <v>2122</v>
      </c>
      <c r="J6" s="17">
        <v>40051</v>
      </c>
      <c r="K6" s="17">
        <v>45222</v>
      </c>
      <c r="L6" s="16" t="s">
        <v>2843</v>
      </c>
      <c r="M6" s="55" t="str">
        <f>IF(ISNA(VLOOKUP(D6,'[3]Table APOQUA files'!$B:$B,1,FALSE)),"NO","YES")</f>
        <v>YES</v>
      </c>
      <c r="N6" s="55" t="str">
        <f>IF(ISNA(VLOOKUP(D6,'Base PFR table'!K:K,1,FALSE)),"NO","YES")</f>
        <v>NO</v>
      </c>
      <c r="O6" s="35" t="s">
        <v>2858</v>
      </c>
      <c r="P6" s="35" t="s">
        <v>2858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</row>
    <row r="7" spans="1:99" s="18" customFormat="1" ht="15" customHeight="1" x14ac:dyDescent="0.25">
      <c r="A7" s="18" t="s">
        <v>2087</v>
      </c>
      <c r="C7" s="67"/>
      <c r="D7" s="87" t="s">
        <v>59</v>
      </c>
      <c r="E7" s="15" t="s">
        <v>629</v>
      </c>
      <c r="F7" s="22" t="s">
        <v>1208</v>
      </c>
      <c r="G7" s="16">
        <v>0</v>
      </c>
      <c r="H7" s="16" t="s">
        <v>539</v>
      </c>
      <c r="I7" s="16" t="s">
        <v>2133</v>
      </c>
      <c r="J7" s="17">
        <v>40212</v>
      </c>
      <c r="K7" s="17">
        <v>42893</v>
      </c>
      <c r="L7" s="16" t="s">
        <v>2843</v>
      </c>
      <c r="M7" s="55" t="str">
        <f>IF(ISNA(VLOOKUP(D7,'[3]Table APOQUA files'!$B:$B,1,FALSE)),"NO","YES")</f>
        <v>YES</v>
      </c>
      <c r="N7" s="55" t="str">
        <f>IF(ISNA(VLOOKUP(D7,'Base PFR table'!K:K,1,FALSE)),"NO","YES")</f>
        <v>NO</v>
      </c>
      <c r="O7" s="35" t="s">
        <v>2858</v>
      </c>
      <c r="P7" s="35" t="s">
        <v>2858</v>
      </c>
    </row>
    <row r="8" spans="1:99" ht="15" customHeight="1" x14ac:dyDescent="0.25">
      <c r="A8" s="69" t="s">
        <v>2087</v>
      </c>
      <c r="C8" s="38"/>
      <c r="D8" s="1" t="s">
        <v>360</v>
      </c>
      <c r="E8" s="15" t="s">
        <v>630</v>
      </c>
      <c r="F8" s="20" t="s">
        <v>1216</v>
      </c>
      <c r="G8" s="9" t="s">
        <v>1211</v>
      </c>
      <c r="H8" s="9" t="s">
        <v>1169</v>
      </c>
      <c r="I8" s="9" t="s">
        <v>2125</v>
      </c>
      <c r="J8" s="10">
        <v>40294</v>
      </c>
      <c r="K8" s="10">
        <v>45218</v>
      </c>
      <c r="L8" s="10" t="s">
        <v>1207</v>
      </c>
      <c r="M8" s="33" t="str">
        <f>IF(ISNA(VLOOKUP(D8,'[3]Table APOQUA files'!$B:$B,1,FALSE)),"NO","YES")</f>
        <v>YES</v>
      </c>
      <c r="N8" s="33" t="str">
        <f>IF(ISNA(VLOOKUP(D8,'Base PFR table'!K:K,1,FALSE)),"NO","YES")</f>
        <v>YES</v>
      </c>
      <c r="O8" s="35" t="s">
        <v>2858</v>
      </c>
      <c r="P8" s="35" t="s">
        <v>2858</v>
      </c>
    </row>
    <row r="9" spans="1:99" ht="15" customHeight="1" x14ac:dyDescent="0.25">
      <c r="A9" s="72" t="s">
        <v>2087</v>
      </c>
      <c r="D9" s="1" t="s">
        <v>340</v>
      </c>
      <c r="E9" s="15" t="s">
        <v>631</v>
      </c>
      <c r="F9" s="20" t="s">
        <v>1217</v>
      </c>
      <c r="G9" s="9" t="s">
        <v>1206</v>
      </c>
      <c r="H9" s="9" t="s">
        <v>593</v>
      </c>
      <c r="I9" s="9" t="s">
        <v>2126</v>
      </c>
      <c r="J9" s="10">
        <v>40294</v>
      </c>
      <c r="K9" s="10">
        <v>45600</v>
      </c>
      <c r="L9" s="9" t="s">
        <v>1209</v>
      </c>
      <c r="M9" s="33" t="str">
        <f>IF(ISNA(VLOOKUP(D9,'[3]Table APOQUA files'!$B:$B,1,FALSE)),"NO","YES")</f>
        <v>YES</v>
      </c>
      <c r="N9" s="33" t="str">
        <f>IF(ISNA(VLOOKUP(D9,'Base PFR table'!K:K,1,FALSE)),"NO","YES")</f>
        <v>NO</v>
      </c>
      <c r="O9" s="35" t="s">
        <v>2858</v>
      </c>
      <c r="P9" s="35" t="s">
        <v>2858</v>
      </c>
    </row>
    <row r="10" spans="1:99" ht="15" customHeight="1" x14ac:dyDescent="0.25">
      <c r="D10" s="60" t="s">
        <v>352</v>
      </c>
      <c r="E10" s="56" t="s">
        <v>632</v>
      </c>
      <c r="F10" s="57" t="s">
        <v>2849</v>
      </c>
      <c r="G10" s="58" t="s">
        <v>1206</v>
      </c>
      <c r="H10" s="58" t="s">
        <v>593</v>
      </c>
      <c r="I10" s="58" t="s">
        <v>2122</v>
      </c>
      <c r="J10" s="59">
        <v>40295</v>
      </c>
      <c r="K10" s="59">
        <v>40913</v>
      </c>
      <c r="L10" s="58" t="s">
        <v>2645</v>
      </c>
      <c r="M10" s="33" t="str">
        <f>IF(ISNA(VLOOKUP(D10,'[3]Table APOQUA files'!$B:$B,1,FALSE)),"NO","YES")</f>
        <v>YES</v>
      </c>
      <c r="N10" s="33" t="str">
        <f>IF(ISNA(VLOOKUP(D10,'Base PFR table'!K:K,1,FALSE)),"NO","YES")</f>
        <v>NO</v>
      </c>
      <c r="O10" s="3" t="s">
        <v>2857</v>
      </c>
      <c r="P10" s="3" t="s">
        <v>2857</v>
      </c>
    </row>
    <row r="11" spans="1:99" ht="15" customHeight="1" x14ac:dyDescent="0.25">
      <c r="A11" s="72" t="s">
        <v>2087</v>
      </c>
      <c r="D11" s="1" t="s">
        <v>322</v>
      </c>
      <c r="E11" s="15" t="s">
        <v>633</v>
      </c>
      <c r="F11" s="20" t="s">
        <v>1219</v>
      </c>
      <c r="G11" s="9" t="s">
        <v>1220</v>
      </c>
      <c r="H11" s="9" t="s">
        <v>1170</v>
      </c>
      <c r="I11" s="9" t="s">
        <v>2133</v>
      </c>
      <c r="J11" s="10">
        <v>40295</v>
      </c>
      <c r="K11" s="10">
        <v>42779</v>
      </c>
      <c r="L11" s="9" t="s">
        <v>2843</v>
      </c>
      <c r="M11" s="33" t="str">
        <f>IF(ISNA(VLOOKUP(D11,'[3]Table APOQUA files'!$B:$B,1,FALSE)),"NO","YES")</f>
        <v>YES</v>
      </c>
      <c r="N11" s="33" t="str">
        <f>IF(ISNA(VLOOKUP(D11,'Base PFR table'!K:K,1,FALSE)),"NO","YES")</f>
        <v>NO</v>
      </c>
      <c r="O11" s="35" t="s">
        <v>2858</v>
      </c>
      <c r="P11" s="35" t="s">
        <v>2858</v>
      </c>
    </row>
    <row r="12" spans="1:99" ht="15" customHeight="1" x14ac:dyDescent="0.25">
      <c r="D12" s="60" t="s">
        <v>58</v>
      </c>
      <c r="E12" s="56" t="s">
        <v>634</v>
      </c>
      <c r="F12" s="57" t="s">
        <v>1221</v>
      </c>
      <c r="G12" s="58" t="s">
        <v>1222</v>
      </c>
      <c r="H12" s="58" t="s">
        <v>1171</v>
      </c>
      <c r="I12" s="58" t="s">
        <v>2133</v>
      </c>
      <c r="J12" s="59">
        <v>40295</v>
      </c>
      <c r="K12" s="59">
        <v>42940</v>
      </c>
      <c r="L12" s="58" t="s">
        <v>2645</v>
      </c>
      <c r="M12" s="33" t="str">
        <f>IF(ISNA(VLOOKUP(D12,'[3]Table APOQUA files'!$B:$B,1,FALSE)),"NO","YES")</f>
        <v>YES</v>
      </c>
      <c r="N12" s="33" t="str">
        <f>IF(ISNA(VLOOKUP(D12,'Base PFR table'!K:K,1,FALSE)),"NO","YES")</f>
        <v>NO</v>
      </c>
      <c r="O12" s="3" t="s">
        <v>2857</v>
      </c>
      <c r="P12" s="3" t="s">
        <v>2857</v>
      </c>
    </row>
    <row r="13" spans="1:99" ht="15" customHeight="1" x14ac:dyDescent="0.25">
      <c r="A13" s="69" t="s">
        <v>2087</v>
      </c>
      <c r="D13" s="1" t="s">
        <v>281</v>
      </c>
      <c r="E13" s="15" t="s">
        <v>635</v>
      </c>
      <c r="F13" s="20" t="s">
        <v>1223</v>
      </c>
      <c r="G13" s="9" t="s">
        <v>1224</v>
      </c>
      <c r="H13" s="9" t="s">
        <v>599</v>
      </c>
      <c r="I13" s="9" t="s">
        <v>2057</v>
      </c>
      <c r="J13" s="10">
        <v>40295</v>
      </c>
      <c r="K13" s="10">
        <v>45686</v>
      </c>
      <c r="L13" s="9" t="s">
        <v>1207</v>
      </c>
      <c r="M13" s="33" t="str">
        <f>IF(ISNA(VLOOKUP(D13,'[3]Table APOQUA files'!$B:$B,1,FALSE)),"NO","YES")</f>
        <v>YES</v>
      </c>
      <c r="N13" s="33" t="str">
        <f>IF(ISNA(VLOOKUP(D13,'Base PFR table'!K:K,1,FALSE)),"NO","YES")</f>
        <v>NO</v>
      </c>
      <c r="O13" s="35" t="s">
        <v>2858</v>
      </c>
      <c r="P13" s="35" t="s">
        <v>2858</v>
      </c>
    </row>
    <row r="14" spans="1:99" ht="15" customHeight="1" x14ac:dyDescent="0.25">
      <c r="A14" s="72" t="s">
        <v>2087</v>
      </c>
      <c r="C14" s="38"/>
      <c r="D14" s="1" t="s">
        <v>415</v>
      </c>
      <c r="E14" s="15" t="s">
        <v>636</v>
      </c>
      <c r="F14" s="20" t="s">
        <v>1225</v>
      </c>
      <c r="G14" s="9" t="s">
        <v>1226</v>
      </c>
      <c r="H14" s="9" t="s">
        <v>612</v>
      </c>
      <c r="I14" s="9" t="s">
        <v>2127</v>
      </c>
      <c r="J14" s="10">
        <v>40295</v>
      </c>
      <c r="K14" s="10">
        <v>45643</v>
      </c>
      <c r="L14" s="9" t="s">
        <v>1207</v>
      </c>
      <c r="M14" s="33" t="str">
        <f>IF(ISNA(VLOOKUP(D14,'[3]Table APOQUA files'!$B:$B,1,FALSE)),"NO","YES")</f>
        <v>YES</v>
      </c>
      <c r="N14" s="33" t="str">
        <f>IF(ISNA(VLOOKUP(D14,'Base PFR table'!K:K,1,FALSE)),"NO","YES")</f>
        <v>YES</v>
      </c>
      <c r="O14" s="35" t="s">
        <v>2858</v>
      </c>
      <c r="P14" s="35" t="s">
        <v>2858</v>
      </c>
    </row>
    <row r="15" spans="1:99" ht="15" customHeight="1" x14ac:dyDescent="0.25">
      <c r="A15" s="72" t="s">
        <v>2087</v>
      </c>
      <c r="D15" s="1" t="s">
        <v>416</v>
      </c>
      <c r="E15" s="15" t="s">
        <v>637</v>
      </c>
      <c r="F15" s="20" t="s">
        <v>1227</v>
      </c>
      <c r="G15" s="9" t="s">
        <v>1228</v>
      </c>
      <c r="H15" s="9" t="s">
        <v>612</v>
      </c>
      <c r="I15" s="9" t="s">
        <v>2127</v>
      </c>
      <c r="J15" s="10">
        <v>40295</v>
      </c>
      <c r="K15" s="10">
        <v>45379</v>
      </c>
      <c r="L15" s="9" t="s">
        <v>1207</v>
      </c>
      <c r="M15" s="33" t="str">
        <f>IF(ISNA(VLOOKUP(D15,'[3]Table APOQUA files'!$B:$B,1,FALSE)),"NO","YES")</f>
        <v>YES</v>
      </c>
      <c r="N15" s="33" t="str">
        <f>IF(ISNA(VLOOKUP(D15,'Base PFR table'!K:K,1,FALSE)),"NO","YES")</f>
        <v>NO</v>
      </c>
      <c r="O15" s="35" t="s">
        <v>2858</v>
      </c>
      <c r="P15" s="35" t="s">
        <v>2858</v>
      </c>
    </row>
    <row r="16" spans="1:99" s="18" customFormat="1" ht="15" customHeight="1" x14ac:dyDescent="0.25">
      <c r="A16" s="69" t="s">
        <v>2087</v>
      </c>
      <c r="B16" s="3"/>
      <c r="C16" s="35"/>
      <c r="D16" s="14" t="s">
        <v>418</v>
      </c>
      <c r="E16" s="15" t="s">
        <v>638</v>
      </c>
      <c r="F16" s="22" t="s">
        <v>1229</v>
      </c>
      <c r="G16" s="16" t="s">
        <v>1230</v>
      </c>
      <c r="H16" s="16" t="s">
        <v>612</v>
      </c>
      <c r="I16" s="16" t="s">
        <v>2127</v>
      </c>
      <c r="J16" s="17">
        <v>40295</v>
      </c>
      <c r="K16" s="17">
        <v>44335</v>
      </c>
      <c r="L16" s="16" t="s">
        <v>2843</v>
      </c>
      <c r="M16" s="55" t="str">
        <f>IF(ISNA(VLOOKUP(D16,'[3]Table APOQUA files'!$B:$B,1,FALSE)),"NO","YES")</f>
        <v>YES</v>
      </c>
      <c r="N16" s="55" t="str">
        <f>IF(ISNA(VLOOKUP(D16,'Base PFR table'!K:K,1,FALSE)),"NO","YES")</f>
        <v>NO</v>
      </c>
      <c r="O16" s="35" t="s">
        <v>2858</v>
      </c>
      <c r="P16" s="35" t="s">
        <v>2858</v>
      </c>
    </row>
    <row r="17" spans="1:16" s="18" customFormat="1" ht="15" customHeight="1" x14ac:dyDescent="0.25">
      <c r="A17" s="3" t="s">
        <v>2087</v>
      </c>
      <c r="B17" s="3"/>
      <c r="C17" s="35"/>
      <c r="D17" s="14" t="s">
        <v>61</v>
      </c>
      <c r="E17" s="15" t="s">
        <v>639</v>
      </c>
      <c r="F17" s="22" t="s">
        <v>1231</v>
      </c>
      <c r="G17" s="16" t="s">
        <v>1220</v>
      </c>
      <c r="H17" s="16" t="s">
        <v>1170</v>
      </c>
      <c r="I17" s="16" t="s">
        <v>2133</v>
      </c>
      <c r="J17" s="17">
        <v>40304</v>
      </c>
      <c r="K17" s="17">
        <v>40561</v>
      </c>
      <c r="L17" s="16" t="s">
        <v>2843</v>
      </c>
      <c r="M17" s="55" t="str">
        <f>IF(ISNA(VLOOKUP(D17,'[3]Table APOQUA files'!$B:$B,1,FALSE)),"NO","YES")</f>
        <v>YES</v>
      </c>
      <c r="N17" s="55" t="str">
        <f>IF(ISNA(VLOOKUP(D17,'Base PFR table'!K:K,1,FALSE)),"NO","YES")</f>
        <v>NO</v>
      </c>
      <c r="O17" s="35" t="s">
        <v>2858</v>
      </c>
      <c r="P17" s="35" t="s">
        <v>2858</v>
      </c>
    </row>
    <row r="18" spans="1:16" ht="15" customHeight="1" x14ac:dyDescent="0.25">
      <c r="D18" s="60" t="s">
        <v>52</v>
      </c>
      <c r="E18" s="56" t="s">
        <v>640</v>
      </c>
      <c r="F18" s="57" t="s">
        <v>1208</v>
      </c>
      <c r="G18" s="58" t="s">
        <v>1208</v>
      </c>
      <c r="H18" s="58" t="s">
        <v>539</v>
      </c>
      <c r="I18" s="58" t="s">
        <v>2133</v>
      </c>
      <c r="J18" s="59">
        <v>40304</v>
      </c>
      <c r="K18" s="59">
        <v>40304</v>
      </c>
      <c r="L18" s="58" t="s">
        <v>2645</v>
      </c>
      <c r="M18" s="33" t="str">
        <f>IF(ISNA(VLOOKUP(D18,'[3]Table APOQUA files'!$B:$B,1,FALSE)),"NO","YES")</f>
        <v>YES</v>
      </c>
      <c r="N18" s="33" t="str">
        <f>IF(ISNA(VLOOKUP(D18,'Base PFR table'!K:K,1,FALSE)),"NO","YES")</f>
        <v>NO</v>
      </c>
      <c r="O18" s="3" t="s">
        <v>2857</v>
      </c>
      <c r="P18" s="3" t="s">
        <v>2857</v>
      </c>
    </row>
    <row r="19" spans="1:16" ht="15" customHeight="1" x14ac:dyDescent="0.25">
      <c r="A19" s="3" t="s">
        <v>2087</v>
      </c>
      <c r="D19" s="1" t="s">
        <v>219</v>
      </c>
      <c r="E19" s="15" t="s">
        <v>641</v>
      </c>
      <c r="F19" s="20" t="s">
        <v>1232</v>
      </c>
      <c r="G19" s="9" t="s">
        <v>1233</v>
      </c>
      <c r="H19" s="9" t="s">
        <v>593</v>
      </c>
      <c r="I19" s="9" t="s">
        <v>2122</v>
      </c>
      <c r="J19" s="10">
        <v>40304</v>
      </c>
      <c r="K19" s="10">
        <v>45432</v>
      </c>
      <c r="L19" s="10" t="s">
        <v>1207</v>
      </c>
      <c r="M19" s="33" t="str">
        <f>IF(ISNA(VLOOKUP(D19,'[3]Table APOQUA files'!$B:$B,1,FALSE)),"NO","YES")</f>
        <v>YES</v>
      </c>
      <c r="N19" s="33" t="str">
        <f>IF(ISNA(VLOOKUP(D19,'Base PFR table'!K:K,1,FALSE)),"NO","YES")</f>
        <v>NO</v>
      </c>
      <c r="O19" s="35" t="s">
        <v>2858</v>
      </c>
      <c r="P19" s="35" t="s">
        <v>2858</v>
      </c>
    </row>
    <row r="20" spans="1:16" ht="15" customHeight="1" x14ac:dyDescent="0.25">
      <c r="D20" s="60" t="s">
        <v>268</v>
      </c>
      <c r="E20" s="56" t="s">
        <v>642</v>
      </c>
      <c r="F20" s="57" t="s">
        <v>1234</v>
      </c>
      <c r="G20" s="58" t="s">
        <v>1235</v>
      </c>
      <c r="H20" s="58" t="s">
        <v>608</v>
      </c>
      <c r="I20" s="58" t="s">
        <v>2126</v>
      </c>
      <c r="J20" s="59">
        <v>40304</v>
      </c>
      <c r="K20" s="59" t="s">
        <v>1236</v>
      </c>
      <c r="L20" s="59" t="s">
        <v>2645</v>
      </c>
      <c r="M20" s="33" t="str">
        <f>IF(ISNA(VLOOKUP(D20,'[3]Table APOQUA files'!$B:$B,1,FALSE)),"NO","YES")</f>
        <v>YES</v>
      </c>
      <c r="N20" s="33" t="str">
        <f>IF(ISNA(VLOOKUP(D20,'Base PFR table'!K:K,1,FALSE)),"NO","YES")</f>
        <v>NO</v>
      </c>
      <c r="O20" s="3" t="s">
        <v>2857</v>
      </c>
      <c r="P20" s="3" t="s">
        <v>2857</v>
      </c>
    </row>
    <row r="21" spans="1:16" ht="15" customHeight="1" x14ac:dyDescent="0.25">
      <c r="A21" s="3" t="s">
        <v>2087</v>
      </c>
      <c r="D21" s="1" t="s">
        <v>435</v>
      </c>
      <c r="E21" s="15" t="s">
        <v>643</v>
      </c>
      <c r="F21" s="20" t="s">
        <v>1237</v>
      </c>
      <c r="G21" s="9" t="s">
        <v>1238</v>
      </c>
      <c r="H21" s="9" t="s">
        <v>1172</v>
      </c>
      <c r="I21" s="9" t="s">
        <v>2130</v>
      </c>
      <c r="J21" s="10">
        <v>40304</v>
      </c>
      <c r="K21" s="10">
        <v>42667</v>
      </c>
      <c r="L21" s="9" t="s">
        <v>2843</v>
      </c>
      <c r="M21" s="33" t="str">
        <f>IF(ISNA(VLOOKUP(D21,'[3]Table APOQUA files'!$B:$B,1,FALSE)),"NO","YES")</f>
        <v>YES</v>
      </c>
      <c r="N21" s="33" t="str">
        <f>IF(ISNA(VLOOKUP(D21,'Base PFR table'!K:K,1,FALSE)),"NO","YES")</f>
        <v>NO</v>
      </c>
      <c r="O21" s="35" t="s">
        <v>2858</v>
      </c>
      <c r="P21" s="35" t="s">
        <v>2858</v>
      </c>
    </row>
    <row r="22" spans="1:16" ht="15" customHeight="1" x14ac:dyDescent="0.25">
      <c r="D22" s="60" t="s">
        <v>84</v>
      </c>
      <c r="E22" s="56" t="s">
        <v>644</v>
      </c>
      <c r="F22" s="57" t="s">
        <v>1239</v>
      </c>
      <c r="G22" s="58" t="s">
        <v>1240</v>
      </c>
      <c r="H22" s="58" t="s">
        <v>1173</v>
      </c>
      <c r="I22" s="58" t="s">
        <v>1186</v>
      </c>
      <c r="J22" s="59">
        <v>43636</v>
      </c>
      <c r="K22" s="59">
        <v>40304</v>
      </c>
      <c r="L22" s="58" t="s">
        <v>2645</v>
      </c>
      <c r="M22" s="33" t="str">
        <f>IF(ISNA(VLOOKUP(D22,'[3]Table APOQUA files'!$B:$B,1,FALSE)),"NO","YES")</f>
        <v>YES</v>
      </c>
      <c r="N22" s="33" t="str">
        <f>IF(ISNA(VLOOKUP(D22,'Base PFR table'!K:K,1,FALSE)),"NO","YES")</f>
        <v>NO</v>
      </c>
      <c r="O22" s="3" t="s">
        <v>2857</v>
      </c>
      <c r="P22" s="3" t="s">
        <v>2857</v>
      </c>
    </row>
    <row r="23" spans="1:16" ht="15" customHeight="1" x14ac:dyDescent="0.25">
      <c r="D23" s="60" t="s">
        <v>253</v>
      </c>
      <c r="E23" s="56" t="s">
        <v>645</v>
      </c>
      <c r="F23" s="57" t="s">
        <v>1241</v>
      </c>
      <c r="G23" s="58" t="s">
        <v>1208</v>
      </c>
      <c r="H23" s="58" t="s">
        <v>539</v>
      </c>
      <c r="I23" s="58">
        <v>0</v>
      </c>
      <c r="J23" s="59">
        <v>40304</v>
      </c>
      <c r="K23" s="59">
        <v>41457</v>
      </c>
      <c r="L23" s="58" t="s">
        <v>2645</v>
      </c>
      <c r="M23" s="33" t="str">
        <f>IF(ISNA(VLOOKUP(D23,'[3]Table APOQUA files'!$B:$B,1,FALSE)),"NO","YES")</f>
        <v>YES</v>
      </c>
      <c r="N23" s="33" t="str">
        <f>IF(ISNA(VLOOKUP(D23,'Base PFR table'!K:K,1,FALSE)),"NO","YES")</f>
        <v>NO</v>
      </c>
      <c r="O23" s="3" t="s">
        <v>2857</v>
      </c>
      <c r="P23" s="3" t="s">
        <v>2857</v>
      </c>
    </row>
    <row r="24" spans="1:16" ht="15" customHeight="1" x14ac:dyDescent="0.25">
      <c r="D24" s="60" t="s">
        <v>175</v>
      </c>
      <c r="E24" s="56" t="s">
        <v>646</v>
      </c>
      <c r="F24" s="57" t="s">
        <v>2850</v>
      </c>
      <c r="G24" s="58" t="s">
        <v>1242</v>
      </c>
      <c r="H24" s="58" t="s">
        <v>1174</v>
      </c>
      <c r="I24" s="58" t="s">
        <v>2133</v>
      </c>
      <c r="J24" s="59">
        <v>40304</v>
      </c>
      <c r="K24" s="59">
        <v>43009</v>
      </c>
      <c r="L24" s="58" t="s">
        <v>2645</v>
      </c>
      <c r="M24" s="33" t="str">
        <f>IF(ISNA(VLOOKUP(D24,'[3]Table APOQUA files'!$B:$B,1,FALSE)),"NO","YES")</f>
        <v>YES</v>
      </c>
      <c r="N24" s="33" t="str">
        <f>IF(ISNA(VLOOKUP(D24,'Base PFR table'!K:K,1,FALSE)),"NO","YES")</f>
        <v>NO</v>
      </c>
      <c r="O24" s="3" t="s">
        <v>2857</v>
      </c>
      <c r="P24" s="3" t="s">
        <v>2857</v>
      </c>
    </row>
    <row r="25" spans="1:16" ht="15" customHeight="1" x14ac:dyDescent="0.25">
      <c r="A25" s="3" t="s">
        <v>2087</v>
      </c>
      <c r="C25" s="39"/>
      <c r="D25" s="1" t="s">
        <v>119</v>
      </c>
      <c r="E25" s="15" t="s">
        <v>647</v>
      </c>
      <c r="F25" s="20" t="s">
        <v>1243</v>
      </c>
      <c r="G25" s="9" t="s">
        <v>1244</v>
      </c>
      <c r="H25" s="9" t="s">
        <v>1175</v>
      </c>
      <c r="I25" s="9" t="s">
        <v>1186</v>
      </c>
      <c r="J25" s="10">
        <v>40304</v>
      </c>
      <c r="K25" s="10">
        <v>45226</v>
      </c>
      <c r="L25" s="9" t="s">
        <v>1209</v>
      </c>
      <c r="M25" s="33" t="str">
        <f>IF(ISNA(VLOOKUP(D25,'[3]Table APOQUA files'!$B:$B,1,FALSE)),"NO","YES")</f>
        <v>YES</v>
      </c>
      <c r="N25" s="33" t="str">
        <f>IF(ISNA(VLOOKUP(D25,'Base PFR table'!K:K,1,FALSE)),"NO","YES")</f>
        <v>YES</v>
      </c>
      <c r="O25" s="35" t="s">
        <v>2858</v>
      </c>
      <c r="P25" s="35" t="s">
        <v>2858</v>
      </c>
    </row>
    <row r="26" spans="1:16" s="18" customFormat="1" ht="15" customHeight="1" x14ac:dyDescent="0.25">
      <c r="A26" s="3" t="s">
        <v>2087</v>
      </c>
      <c r="C26" s="38"/>
      <c r="D26" s="14" t="s">
        <v>200</v>
      </c>
      <c r="E26" s="15" t="s">
        <v>648</v>
      </c>
      <c r="F26" s="22" t="s">
        <v>1245</v>
      </c>
      <c r="G26" s="16" t="s">
        <v>1246</v>
      </c>
      <c r="H26" s="16" t="s">
        <v>608</v>
      </c>
      <c r="I26" s="16" t="s">
        <v>2123</v>
      </c>
      <c r="J26" s="17">
        <v>40304</v>
      </c>
      <c r="K26" s="17">
        <v>45568</v>
      </c>
      <c r="L26" s="9" t="s">
        <v>1207</v>
      </c>
      <c r="M26" s="55" t="str">
        <f>IF(ISNA(VLOOKUP(D26,'[3]Table APOQUA files'!$B:$B,1,FALSE)),"NO","YES")</f>
        <v>YES</v>
      </c>
      <c r="N26" s="55" t="str">
        <f>IF(ISNA(VLOOKUP(D26,'Base PFR table'!K:K,1,FALSE)),"NO","YES")</f>
        <v>NO</v>
      </c>
      <c r="O26" s="35" t="s">
        <v>2858</v>
      </c>
      <c r="P26" s="35" t="s">
        <v>2858</v>
      </c>
    </row>
    <row r="27" spans="1:16" ht="15" customHeight="1" x14ac:dyDescent="0.25">
      <c r="A27" s="3" t="s">
        <v>2087</v>
      </c>
      <c r="D27" s="1" t="s">
        <v>290</v>
      </c>
      <c r="E27" s="15" t="s">
        <v>649</v>
      </c>
      <c r="F27" s="20" t="s">
        <v>1247</v>
      </c>
      <c r="G27" s="9" t="s">
        <v>1211</v>
      </c>
      <c r="H27" s="9" t="s">
        <v>1169</v>
      </c>
      <c r="I27" s="9" t="s">
        <v>2125</v>
      </c>
      <c r="J27" s="10">
        <v>40365</v>
      </c>
      <c r="K27" s="10">
        <v>43188</v>
      </c>
      <c r="L27" s="9" t="s">
        <v>2843</v>
      </c>
      <c r="M27" s="33" t="str">
        <f>IF(ISNA(VLOOKUP(D27,'[3]Table APOQUA files'!$B:$B,1,FALSE)),"NO","YES")</f>
        <v>YES</v>
      </c>
      <c r="N27" s="33" t="str">
        <f>IF(ISNA(VLOOKUP(D27,'Base PFR table'!K:K,1,FALSE)),"NO","YES")</f>
        <v>NO</v>
      </c>
      <c r="O27" s="35" t="s">
        <v>2858</v>
      </c>
      <c r="P27" s="35" t="s">
        <v>2858</v>
      </c>
    </row>
    <row r="28" spans="1:16" ht="15" customHeight="1" x14ac:dyDescent="0.25">
      <c r="A28" s="3" t="s">
        <v>2087</v>
      </c>
      <c r="D28" s="60" t="s">
        <v>401</v>
      </c>
      <c r="E28" s="56" t="s">
        <v>650</v>
      </c>
      <c r="F28" s="57" t="s">
        <v>1248</v>
      </c>
      <c r="G28" s="58" t="s">
        <v>1249</v>
      </c>
      <c r="H28" s="58" t="s">
        <v>1176</v>
      </c>
      <c r="I28" s="58" t="s">
        <v>2130</v>
      </c>
      <c r="J28" s="59">
        <v>40455</v>
      </c>
      <c r="K28" s="59">
        <v>43026</v>
      </c>
      <c r="L28" s="58" t="s">
        <v>2645</v>
      </c>
      <c r="M28" s="33" t="str">
        <f>IF(ISNA(VLOOKUP(D28,'[3]Table APOQUA files'!$B:$B,1,FALSE)),"NO","YES")</f>
        <v>YES</v>
      </c>
      <c r="N28" s="33" t="str">
        <f>IF(ISNA(VLOOKUP(D28,'Base PFR table'!K:K,1,FALSE)),"NO","YES")</f>
        <v>NO</v>
      </c>
      <c r="O28" s="3" t="s">
        <v>2857</v>
      </c>
      <c r="P28" s="3" t="s">
        <v>2857</v>
      </c>
    </row>
    <row r="29" spans="1:16" ht="15" customHeight="1" x14ac:dyDescent="0.25">
      <c r="A29" s="3" t="s">
        <v>2087</v>
      </c>
      <c r="C29" s="67"/>
      <c r="D29" s="1" t="s">
        <v>165</v>
      </c>
      <c r="E29" s="15" t="s">
        <v>651</v>
      </c>
      <c r="F29" s="20" t="s">
        <v>1250</v>
      </c>
      <c r="G29" s="9" t="s">
        <v>1233</v>
      </c>
      <c r="H29" s="9" t="s">
        <v>593</v>
      </c>
      <c r="I29" s="9" t="s">
        <v>2122</v>
      </c>
      <c r="J29" s="10">
        <v>40464</v>
      </c>
      <c r="K29" s="10">
        <v>45432</v>
      </c>
      <c r="L29" s="9" t="s">
        <v>1207</v>
      </c>
      <c r="M29" s="33" t="str">
        <f>IF(ISNA(VLOOKUP(D29,'[3]Table APOQUA files'!$B:$B,1,FALSE)),"NO","YES")</f>
        <v>YES</v>
      </c>
      <c r="N29" s="33" t="str">
        <f>IF(ISNA(VLOOKUP(D29,'Base PFR table'!K:K,1,FALSE)),"NO","YES")</f>
        <v>YES</v>
      </c>
      <c r="O29" s="35" t="s">
        <v>2858</v>
      </c>
      <c r="P29" s="35" t="s">
        <v>2858</v>
      </c>
    </row>
    <row r="30" spans="1:16" ht="15" customHeight="1" x14ac:dyDescent="0.25">
      <c r="A30" s="3" t="s">
        <v>2087</v>
      </c>
      <c r="D30" s="1" t="s">
        <v>327</v>
      </c>
      <c r="E30" s="15" t="s">
        <v>652</v>
      </c>
      <c r="F30" s="20" t="s">
        <v>1252</v>
      </c>
      <c r="G30" s="9" t="s">
        <v>1206</v>
      </c>
      <c r="H30" s="9" t="s">
        <v>593</v>
      </c>
      <c r="I30" s="9" t="s">
        <v>2122</v>
      </c>
      <c r="J30" s="10">
        <v>40476</v>
      </c>
      <c r="K30" s="10">
        <v>45222</v>
      </c>
      <c r="L30" s="9" t="s">
        <v>2843</v>
      </c>
      <c r="M30" s="33" t="str">
        <f>IF(ISNA(VLOOKUP(D30,'[3]Table APOQUA files'!$B:$B,1,FALSE)),"NO","YES")</f>
        <v>YES</v>
      </c>
      <c r="N30" s="33" t="str">
        <f>IF(ISNA(VLOOKUP(D30,'Base PFR table'!K:K,1,FALSE)),"NO","YES")</f>
        <v>NO</v>
      </c>
      <c r="O30" s="35" t="s">
        <v>2858</v>
      </c>
      <c r="P30" s="35" t="s">
        <v>2858</v>
      </c>
    </row>
    <row r="31" spans="1:16" ht="15" customHeight="1" x14ac:dyDescent="0.25">
      <c r="A31" s="3" t="s">
        <v>2087</v>
      </c>
      <c r="C31" s="38"/>
      <c r="D31" s="60" t="s">
        <v>142</v>
      </c>
      <c r="E31" s="56" t="s">
        <v>653</v>
      </c>
      <c r="F31" s="57" t="s">
        <v>2851</v>
      </c>
      <c r="G31" s="58" t="s">
        <v>1253</v>
      </c>
      <c r="H31" s="58" t="s">
        <v>1177</v>
      </c>
      <c r="I31" s="58" t="s">
        <v>2122</v>
      </c>
      <c r="J31" s="59">
        <v>40499</v>
      </c>
      <c r="K31" s="59">
        <v>45390</v>
      </c>
      <c r="L31" s="58" t="s">
        <v>2645</v>
      </c>
      <c r="M31" s="33" t="str">
        <f>IF(ISNA(VLOOKUP(D31,'[3]Table APOQUA files'!$B:$B,1,FALSE)),"NO","YES")</f>
        <v>YES</v>
      </c>
      <c r="N31" s="33" t="str">
        <f>IF(ISNA(VLOOKUP(D31,'Base PFR table'!K:K,1,FALSE)),"NO","YES")</f>
        <v>NO</v>
      </c>
      <c r="O31" s="3" t="s">
        <v>2857</v>
      </c>
      <c r="P31" s="3" t="s">
        <v>2857</v>
      </c>
    </row>
    <row r="32" spans="1:16" ht="15" customHeight="1" x14ac:dyDescent="0.25">
      <c r="D32" s="1" t="s">
        <v>178</v>
      </c>
      <c r="E32" s="15" t="s">
        <v>654</v>
      </c>
      <c r="F32" s="20" t="s">
        <v>1254</v>
      </c>
      <c r="G32" s="9" t="s">
        <v>1255</v>
      </c>
      <c r="H32" s="9" t="s">
        <v>1177</v>
      </c>
      <c r="I32" s="9">
        <v>0</v>
      </c>
      <c r="J32" s="10">
        <v>40499</v>
      </c>
      <c r="K32" s="10">
        <v>40730</v>
      </c>
      <c r="L32" s="9" t="s">
        <v>2843</v>
      </c>
      <c r="M32" s="33" t="str">
        <f>IF(ISNA(VLOOKUP(D32,'[3]Table APOQUA files'!$B:$B,1,FALSE)),"NO","YES")</f>
        <v>YES</v>
      </c>
      <c r="N32" s="33" t="str">
        <f>IF(ISNA(VLOOKUP(D32,'Base PFR table'!K:K,1,FALSE)),"NO","YES")</f>
        <v>NO</v>
      </c>
      <c r="O32" s="35" t="s">
        <v>2858</v>
      </c>
      <c r="P32" s="35" t="s">
        <v>2858</v>
      </c>
    </row>
    <row r="33" spans="1:18" ht="15" customHeight="1" x14ac:dyDescent="0.25">
      <c r="A33" s="3" t="s">
        <v>2087</v>
      </c>
      <c r="D33" s="1" t="s">
        <v>79</v>
      </c>
      <c r="E33" s="15" t="s">
        <v>655</v>
      </c>
      <c r="F33" s="20" t="s">
        <v>1256</v>
      </c>
      <c r="G33" s="9" t="s">
        <v>1220</v>
      </c>
      <c r="H33" s="9" t="s">
        <v>1170</v>
      </c>
      <c r="I33" s="9" t="s">
        <v>2133</v>
      </c>
      <c r="J33" s="10">
        <v>40501</v>
      </c>
      <c r="K33" s="10">
        <v>42816</v>
      </c>
      <c r="L33" s="9" t="s">
        <v>2843</v>
      </c>
      <c r="M33" s="33" t="str">
        <f>IF(ISNA(VLOOKUP(D33,'[3]Table APOQUA files'!$B:$B,1,FALSE)),"NO","YES")</f>
        <v>YES</v>
      </c>
      <c r="N33" s="33" t="str">
        <f>IF(ISNA(VLOOKUP(D33,'Base PFR table'!K:K,1,FALSE)),"NO","YES")</f>
        <v>NO</v>
      </c>
      <c r="O33" s="35" t="s">
        <v>2858</v>
      </c>
      <c r="P33" s="35" t="s">
        <v>2858</v>
      </c>
    </row>
    <row r="34" spans="1:18" ht="15" customHeight="1" x14ac:dyDescent="0.25">
      <c r="A34" s="3" t="s">
        <v>2087</v>
      </c>
      <c r="D34" s="14" t="s">
        <v>336</v>
      </c>
      <c r="E34" s="15" t="s">
        <v>656</v>
      </c>
      <c r="F34" s="22" t="s">
        <v>1257</v>
      </c>
      <c r="G34" s="16" t="s">
        <v>1258</v>
      </c>
      <c r="H34" s="16" t="s">
        <v>1177</v>
      </c>
      <c r="I34" s="16" t="s">
        <v>2131</v>
      </c>
      <c r="J34" s="10">
        <v>40575</v>
      </c>
      <c r="K34" s="10">
        <v>45442</v>
      </c>
      <c r="L34" s="10" t="s">
        <v>1207</v>
      </c>
      <c r="M34" s="33" t="str">
        <f>IF(ISNA(VLOOKUP(D34,'[3]Table APOQUA files'!$B:$B,1,FALSE)),"NO","YES")</f>
        <v>YES</v>
      </c>
      <c r="N34" s="33" t="str">
        <f>IF(ISNA(VLOOKUP(D34,'Base PFR table'!K:K,1,FALSE)),"NO","YES")</f>
        <v>NO</v>
      </c>
      <c r="O34" s="35" t="s">
        <v>2858</v>
      </c>
      <c r="P34" s="35" t="s">
        <v>2858</v>
      </c>
    </row>
    <row r="35" spans="1:18" s="18" customFormat="1" ht="15" customHeight="1" x14ac:dyDescent="0.25">
      <c r="A35" s="3" t="s">
        <v>2087</v>
      </c>
      <c r="B35" s="3"/>
      <c r="C35" s="35"/>
      <c r="D35" s="14" t="s">
        <v>335</v>
      </c>
      <c r="E35" s="15" t="s">
        <v>657</v>
      </c>
      <c r="F35" s="22" t="s">
        <v>1260</v>
      </c>
      <c r="G35" s="16" t="s">
        <v>1261</v>
      </c>
      <c r="H35" s="16" t="s">
        <v>1177</v>
      </c>
      <c r="I35" s="16" t="s">
        <v>2131</v>
      </c>
      <c r="J35" s="17">
        <v>40575</v>
      </c>
      <c r="K35" s="17" t="s">
        <v>1262</v>
      </c>
      <c r="L35" s="17" t="s">
        <v>1209</v>
      </c>
      <c r="M35" s="55" t="str">
        <f>IF(ISNA(VLOOKUP(D35,'[3]Table APOQUA files'!$B:$B,1,FALSE)),"NO","YES")</f>
        <v>YES</v>
      </c>
      <c r="N35" s="55" t="str">
        <f>IF(ISNA(VLOOKUP(D35,'Base PFR table'!K:K,1,FALSE)),"NO","YES")</f>
        <v>NO</v>
      </c>
      <c r="O35" s="35" t="s">
        <v>2858</v>
      </c>
      <c r="P35" s="35" t="s">
        <v>2858</v>
      </c>
    </row>
    <row r="36" spans="1:18" ht="15" customHeight="1" x14ac:dyDescent="0.25">
      <c r="A36" s="3" t="s">
        <v>2087</v>
      </c>
      <c r="C36" s="38"/>
      <c r="D36" s="1" t="s">
        <v>193</v>
      </c>
      <c r="E36" s="15" t="s">
        <v>658</v>
      </c>
      <c r="F36" s="20" t="s">
        <v>1263</v>
      </c>
      <c r="G36" s="9" t="s">
        <v>1264</v>
      </c>
      <c r="H36" s="9" t="s">
        <v>1173</v>
      </c>
      <c r="I36" s="9" t="s">
        <v>1186</v>
      </c>
      <c r="J36" s="10">
        <v>40584</v>
      </c>
      <c r="K36" s="10">
        <v>45226</v>
      </c>
      <c r="L36" s="10" t="s">
        <v>1207</v>
      </c>
      <c r="M36" s="33" t="str">
        <f>IF(ISNA(VLOOKUP(D36,'[3]Table APOQUA files'!$B:$B,1,FALSE)),"NO","YES")</f>
        <v>YES</v>
      </c>
      <c r="N36" s="33" t="str">
        <f>IF(ISNA(VLOOKUP(D36,'Base PFR table'!K:K,1,FALSE)),"NO","YES")</f>
        <v>YES</v>
      </c>
      <c r="O36" s="35" t="s">
        <v>2858</v>
      </c>
      <c r="P36" s="35" t="s">
        <v>2858</v>
      </c>
    </row>
    <row r="37" spans="1:18" ht="15" customHeight="1" x14ac:dyDescent="0.25">
      <c r="A37" s="3" t="s">
        <v>2087</v>
      </c>
      <c r="D37" s="1" t="s">
        <v>284</v>
      </c>
      <c r="E37" s="15" t="s">
        <v>659</v>
      </c>
      <c r="F37" s="20" t="s">
        <v>1265</v>
      </c>
      <c r="G37" s="9" t="s">
        <v>1266</v>
      </c>
      <c r="H37" s="9" t="s">
        <v>599</v>
      </c>
      <c r="I37" s="9" t="s">
        <v>2057</v>
      </c>
      <c r="J37" s="10">
        <v>40598</v>
      </c>
      <c r="K37" s="10">
        <v>45686</v>
      </c>
      <c r="L37" s="9" t="s">
        <v>2855</v>
      </c>
      <c r="M37" s="33" t="str">
        <f>IF(ISNA(VLOOKUP(D37,'[3]Table APOQUA files'!$B:$B,1,FALSE)),"NO","YES")</f>
        <v>YES</v>
      </c>
      <c r="N37" s="33" t="str">
        <f>IF(ISNA(VLOOKUP(D37,'Base PFR table'!K:K,1,FALSE)),"NO","YES")</f>
        <v>NO</v>
      </c>
      <c r="O37" s="35" t="s">
        <v>2858</v>
      </c>
      <c r="P37" s="35" t="s">
        <v>2858</v>
      </c>
    </row>
    <row r="38" spans="1:18" ht="15" customHeight="1" x14ac:dyDescent="0.25">
      <c r="A38" s="3" t="s">
        <v>2087</v>
      </c>
      <c r="C38" s="38"/>
      <c r="D38" s="1" t="s">
        <v>238</v>
      </c>
      <c r="E38" s="15" t="s">
        <v>660</v>
      </c>
      <c r="F38" s="20" t="s">
        <v>1267</v>
      </c>
      <c r="G38" s="9" t="s">
        <v>1268</v>
      </c>
      <c r="H38" s="9" t="s">
        <v>608</v>
      </c>
      <c r="I38" s="9" t="s">
        <v>2123</v>
      </c>
      <c r="J38" s="10">
        <v>40604</v>
      </c>
      <c r="K38" s="10">
        <v>45348</v>
      </c>
      <c r="L38" s="9" t="s">
        <v>1209</v>
      </c>
      <c r="M38" s="33" t="str">
        <f>IF(ISNA(VLOOKUP(D38,'[3]Table APOQUA files'!$B:$B,1,FALSE)),"NO","YES")</f>
        <v>YES</v>
      </c>
      <c r="N38" s="33" t="str">
        <f>IF(ISNA(VLOOKUP(D38,'Base PFR table'!K:K,1,FALSE)),"NO","YES")</f>
        <v>YES</v>
      </c>
      <c r="O38" s="35" t="s">
        <v>2858</v>
      </c>
      <c r="P38" s="35" t="s">
        <v>2858</v>
      </c>
    </row>
    <row r="39" spans="1:18" ht="15" customHeight="1" x14ac:dyDescent="0.25">
      <c r="A39" s="3" t="s">
        <v>2087</v>
      </c>
      <c r="D39" s="1" t="s">
        <v>288</v>
      </c>
      <c r="E39" s="15" t="s">
        <v>661</v>
      </c>
      <c r="F39" s="20" t="s">
        <v>1269</v>
      </c>
      <c r="G39" s="9" t="s">
        <v>1270</v>
      </c>
      <c r="H39" s="9" t="s">
        <v>1177</v>
      </c>
      <c r="I39" s="9" t="s">
        <v>2122</v>
      </c>
      <c r="J39" s="10">
        <v>40732</v>
      </c>
      <c r="K39" s="10">
        <v>45686</v>
      </c>
      <c r="L39" s="9" t="s">
        <v>1207</v>
      </c>
      <c r="M39" s="33" t="str">
        <f>IF(ISNA(VLOOKUP(D39,'[3]Table APOQUA files'!$B:$B,1,FALSE)),"NO","YES")</f>
        <v>YES</v>
      </c>
      <c r="N39" s="33" t="str">
        <f>IF(ISNA(VLOOKUP(D39,'Base PFR table'!K:K,1,FALSE)),"NO","YES")</f>
        <v>NO</v>
      </c>
      <c r="O39" s="35" t="s">
        <v>2858</v>
      </c>
      <c r="P39" s="35" t="s">
        <v>2858</v>
      </c>
    </row>
    <row r="40" spans="1:18" s="18" customFormat="1" ht="15" customHeight="1" x14ac:dyDescent="0.25">
      <c r="A40" s="3" t="s">
        <v>2087</v>
      </c>
      <c r="B40" s="3"/>
      <c r="C40" s="35"/>
      <c r="D40" s="14" t="s">
        <v>11</v>
      </c>
      <c r="E40" s="15" t="s">
        <v>662</v>
      </c>
      <c r="F40" s="22" t="s">
        <v>1271</v>
      </c>
      <c r="G40" s="16" t="s">
        <v>1272</v>
      </c>
      <c r="H40" s="16" t="s">
        <v>612</v>
      </c>
      <c r="I40" s="16" t="s">
        <v>2123</v>
      </c>
      <c r="J40" s="17">
        <v>40809</v>
      </c>
      <c r="K40" s="17">
        <v>40913</v>
      </c>
      <c r="L40" s="16" t="s">
        <v>2843</v>
      </c>
      <c r="M40" s="55" t="str">
        <f>IF(ISNA(VLOOKUP(D40,'[3]Table APOQUA files'!$B:$B,1,FALSE)),"NO","YES")</f>
        <v>YES</v>
      </c>
      <c r="N40" s="55" t="str">
        <f>IF(ISNA(VLOOKUP(D40,'Base PFR table'!K:K,1,FALSE)),"NO","YES")</f>
        <v>NO</v>
      </c>
      <c r="O40" s="35" t="s">
        <v>2858</v>
      </c>
      <c r="P40" s="35" t="s">
        <v>2858</v>
      </c>
    </row>
    <row r="41" spans="1:18" ht="15" customHeight="1" x14ac:dyDescent="0.25">
      <c r="A41" s="3" t="s">
        <v>2087</v>
      </c>
      <c r="D41" s="1" t="s">
        <v>231</v>
      </c>
      <c r="E41" s="15" t="s">
        <v>663</v>
      </c>
      <c r="F41" s="20" t="s">
        <v>1273</v>
      </c>
      <c r="G41" s="9" t="s">
        <v>1274</v>
      </c>
      <c r="H41" s="9" t="s">
        <v>1170</v>
      </c>
      <c r="I41" s="9" t="s">
        <v>2133</v>
      </c>
      <c r="J41" s="10">
        <v>40834</v>
      </c>
      <c r="K41" s="10">
        <v>40974</v>
      </c>
      <c r="L41" s="9" t="s">
        <v>2843</v>
      </c>
      <c r="M41" s="33" t="str">
        <f>IF(ISNA(VLOOKUP(D41,'[3]Table APOQUA files'!$B:$B,1,FALSE)),"NO","YES")</f>
        <v>YES</v>
      </c>
      <c r="N41" s="33" t="str">
        <f>IF(ISNA(VLOOKUP(D41,'Base PFR table'!K:K,1,FALSE)),"NO","YES")</f>
        <v>NO</v>
      </c>
      <c r="O41" s="35" t="s">
        <v>2858</v>
      </c>
      <c r="P41" s="35" t="s">
        <v>2858</v>
      </c>
    </row>
    <row r="42" spans="1:18" ht="15" customHeight="1" x14ac:dyDescent="0.25">
      <c r="A42" s="3" t="s">
        <v>2087</v>
      </c>
      <c r="D42" s="1" t="s">
        <v>411</v>
      </c>
      <c r="E42" s="15" t="s">
        <v>664</v>
      </c>
      <c r="F42" s="20" t="s">
        <v>1275</v>
      </c>
      <c r="G42" s="9" t="s">
        <v>1206</v>
      </c>
      <c r="H42" s="9" t="s">
        <v>593</v>
      </c>
      <c r="I42" s="9" t="s">
        <v>2122</v>
      </c>
      <c r="J42" s="10">
        <v>40850</v>
      </c>
      <c r="K42" s="10">
        <v>45686</v>
      </c>
      <c r="L42" s="9" t="s">
        <v>1207</v>
      </c>
      <c r="M42" s="33" t="str">
        <f>IF(ISNA(VLOOKUP(D42,'[3]Table APOQUA files'!$B:$B,1,FALSE)),"NO","YES")</f>
        <v>YES</v>
      </c>
      <c r="N42" s="33" t="str">
        <f>IF(ISNA(VLOOKUP(D42,'Base PFR table'!K:K,1,FALSE)),"NO","YES")</f>
        <v>NO</v>
      </c>
      <c r="O42" s="35" t="s">
        <v>2858</v>
      </c>
      <c r="P42" s="35" t="s">
        <v>2858</v>
      </c>
    </row>
    <row r="43" spans="1:18" ht="15" customHeight="1" x14ac:dyDescent="0.25">
      <c r="A43" s="3" t="s">
        <v>2087</v>
      </c>
      <c r="D43" s="1" t="s">
        <v>221</v>
      </c>
      <c r="E43" s="15" t="s">
        <v>665</v>
      </c>
      <c r="F43" s="20" t="s">
        <v>1276</v>
      </c>
      <c r="G43" s="9" t="s">
        <v>1277</v>
      </c>
      <c r="H43" s="9" t="s">
        <v>1177</v>
      </c>
      <c r="I43" s="9" t="s">
        <v>2122</v>
      </c>
      <c r="J43" s="10">
        <v>40942</v>
      </c>
      <c r="K43" s="10">
        <v>40994</v>
      </c>
      <c r="L43" s="9" t="s">
        <v>2843</v>
      </c>
      <c r="M43" s="33" t="str">
        <f>IF(ISNA(VLOOKUP(D43,'[3]Table APOQUA files'!$B:$B,1,FALSE)),"NO","YES")</f>
        <v>YES</v>
      </c>
      <c r="N43" s="33" t="str">
        <f>IF(ISNA(VLOOKUP(D43,'Base PFR table'!K:K,1,FALSE)),"NO","YES")</f>
        <v>NO</v>
      </c>
      <c r="O43" s="35" t="s">
        <v>2858</v>
      </c>
      <c r="P43" s="35" t="s">
        <v>2858</v>
      </c>
    </row>
    <row r="44" spans="1:18" ht="15" customHeight="1" x14ac:dyDescent="0.25">
      <c r="A44" s="3" t="s">
        <v>2087</v>
      </c>
      <c r="C44" s="38"/>
      <c r="D44" s="1" t="s">
        <v>246</v>
      </c>
      <c r="E44" s="15" t="s">
        <v>666</v>
      </c>
      <c r="F44" s="20" t="s">
        <v>1278</v>
      </c>
      <c r="G44" s="9" t="s">
        <v>1279</v>
      </c>
      <c r="H44" s="9" t="s">
        <v>1177</v>
      </c>
      <c r="I44" s="9" t="s">
        <v>2122</v>
      </c>
      <c r="J44" s="10">
        <v>40953</v>
      </c>
      <c r="K44" s="10">
        <v>45321</v>
      </c>
      <c r="L44" s="9" t="s">
        <v>1207</v>
      </c>
      <c r="M44" s="33" t="str">
        <f>IF(ISNA(VLOOKUP(D44,'[3]Table APOQUA files'!$B:$B,1,FALSE)),"NO","YES")</f>
        <v>YES</v>
      </c>
      <c r="N44" s="33" t="str">
        <f>IF(ISNA(VLOOKUP(D44,'Base PFR table'!K:K,1,FALSE)),"NO","YES")</f>
        <v>NO</v>
      </c>
      <c r="O44" s="35" t="s">
        <v>2870</v>
      </c>
      <c r="P44" s="35" t="s">
        <v>2865</v>
      </c>
      <c r="Q44" s="3" t="s">
        <v>2867</v>
      </c>
      <c r="R44" s="3" t="s">
        <v>2873</v>
      </c>
    </row>
    <row r="45" spans="1:18" ht="15" customHeight="1" x14ac:dyDescent="0.25">
      <c r="D45" s="60" t="s">
        <v>329</v>
      </c>
      <c r="E45" s="56" t="s">
        <v>667</v>
      </c>
      <c r="F45" s="57" t="s">
        <v>1280</v>
      </c>
      <c r="G45" s="58" t="s">
        <v>1281</v>
      </c>
      <c r="H45" s="58" t="s">
        <v>608</v>
      </c>
      <c r="I45" s="58">
        <v>0</v>
      </c>
      <c r="J45" s="59">
        <v>40953</v>
      </c>
      <c r="K45" s="59">
        <v>40994</v>
      </c>
      <c r="L45" s="58" t="s">
        <v>2645</v>
      </c>
      <c r="M45" s="33" t="str">
        <f>IF(ISNA(VLOOKUP(D45,'[3]Table APOQUA files'!$B:$B,1,FALSE)),"NO","YES")</f>
        <v>YES</v>
      </c>
      <c r="N45" s="33" t="str">
        <f>IF(ISNA(VLOOKUP(D45,'Base PFR table'!K:K,1,FALSE)),"NO","YES")</f>
        <v>NO</v>
      </c>
      <c r="O45" s="3" t="s">
        <v>2857</v>
      </c>
      <c r="P45" s="3" t="s">
        <v>2857</v>
      </c>
    </row>
    <row r="46" spans="1:18" ht="15" customHeight="1" x14ac:dyDescent="0.25">
      <c r="A46" s="3" t="s">
        <v>2087</v>
      </c>
      <c r="D46" s="60" t="s">
        <v>311</v>
      </c>
      <c r="E46" s="56" t="s">
        <v>668</v>
      </c>
      <c r="F46" s="57" t="s">
        <v>1282</v>
      </c>
      <c r="G46" s="58" t="s">
        <v>1283</v>
      </c>
      <c r="H46" s="58" t="s">
        <v>608</v>
      </c>
      <c r="I46" s="58" t="s">
        <v>2123</v>
      </c>
      <c r="J46" s="59">
        <v>40973</v>
      </c>
      <c r="K46" s="59">
        <v>41809</v>
      </c>
      <c r="L46" s="58" t="s">
        <v>2645</v>
      </c>
      <c r="M46" s="33" t="str">
        <f>IF(ISNA(VLOOKUP(D46,'[3]Table APOQUA files'!$B:$B,1,FALSE)),"NO","YES")</f>
        <v>YES</v>
      </c>
      <c r="N46" s="33" t="str">
        <f>IF(ISNA(VLOOKUP(D46,'Base PFR table'!K:K,1,FALSE)),"NO","YES")</f>
        <v>NO</v>
      </c>
      <c r="O46" s="3" t="s">
        <v>2857</v>
      </c>
      <c r="P46" s="3" t="s">
        <v>2857</v>
      </c>
    </row>
    <row r="47" spans="1:18" ht="15" customHeight="1" x14ac:dyDescent="0.25">
      <c r="A47" s="3" t="s">
        <v>2087</v>
      </c>
      <c r="D47" s="1" t="s">
        <v>258</v>
      </c>
      <c r="E47" s="15" t="s">
        <v>669</v>
      </c>
      <c r="F47" s="20" t="s">
        <v>1284</v>
      </c>
      <c r="G47" s="9" t="s">
        <v>1285</v>
      </c>
      <c r="H47" s="9" t="s">
        <v>1176</v>
      </c>
      <c r="I47" s="9" t="s">
        <v>2122</v>
      </c>
      <c r="J47" s="10">
        <v>40987</v>
      </c>
      <c r="K47" s="10">
        <v>44081</v>
      </c>
      <c r="L47" s="9" t="s">
        <v>2843</v>
      </c>
      <c r="M47" s="33" t="str">
        <f>IF(ISNA(VLOOKUP(D47,'[3]Table APOQUA files'!$B:$B,1,FALSE)),"NO","YES")</f>
        <v>YES</v>
      </c>
      <c r="N47" s="33" t="str">
        <f>IF(ISNA(VLOOKUP(D47,'Base PFR table'!K:K,1,FALSE)),"NO","YES")</f>
        <v>NO</v>
      </c>
      <c r="O47" s="35" t="s">
        <v>2858</v>
      </c>
      <c r="P47" s="35" t="s">
        <v>2858</v>
      </c>
    </row>
    <row r="48" spans="1:18" ht="15" customHeight="1" x14ac:dyDescent="0.25">
      <c r="A48" s="3" t="s">
        <v>2087</v>
      </c>
      <c r="D48" s="1" t="s">
        <v>447</v>
      </c>
      <c r="E48" s="15" t="s">
        <v>670</v>
      </c>
      <c r="F48" s="20" t="s">
        <v>1286</v>
      </c>
      <c r="G48" s="9" t="s">
        <v>1287</v>
      </c>
      <c r="H48" s="9" t="s">
        <v>1177</v>
      </c>
      <c r="I48" s="9" t="s">
        <v>2122</v>
      </c>
      <c r="J48" s="10">
        <v>40995</v>
      </c>
      <c r="K48" s="10">
        <v>42878</v>
      </c>
      <c r="L48" s="9" t="s">
        <v>2843</v>
      </c>
      <c r="M48" s="33" t="str">
        <f>IF(ISNA(VLOOKUP(D48,'[3]Table APOQUA files'!$B:$B,1,FALSE)),"NO","YES")</f>
        <v>YES</v>
      </c>
      <c r="N48" s="33" t="str">
        <f>IF(ISNA(VLOOKUP(D48,'Base PFR table'!K:K,1,FALSE)),"NO","YES")</f>
        <v>NO</v>
      </c>
      <c r="O48" s="35" t="s">
        <v>2858</v>
      </c>
      <c r="P48" s="35" t="s">
        <v>2858</v>
      </c>
    </row>
    <row r="49" spans="1:18" ht="15" customHeight="1" x14ac:dyDescent="0.25">
      <c r="A49" s="3" t="s">
        <v>2087</v>
      </c>
      <c r="D49" s="1" t="s">
        <v>252</v>
      </c>
      <c r="E49" s="15" t="s">
        <v>671</v>
      </c>
      <c r="F49" s="20" t="s">
        <v>1288</v>
      </c>
      <c r="G49" s="9" t="s">
        <v>1289</v>
      </c>
      <c r="H49" s="9" t="s">
        <v>1176</v>
      </c>
      <c r="I49" s="9" t="s">
        <v>2130</v>
      </c>
      <c r="J49" s="10">
        <v>41001</v>
      </c>
      <c r="K49" s="10">
        <v>43769</v>
      </c>
      <c r="L49" s="9" t="s">
        <v>1207</v>
      </c>
      <c r="M49" s="33" t="str">
        <f>IF(ISNA(VLOOKUP(D49,'[3]Table APOQUA files'!$B:$B,1,FALSE)),"NO","YES")</f>
        <v>YES</v>
      </c>
      <c r="N49" s="33" t="str">
        <f>IF(ISNA(VLOOKUP(D49,'Base PFR table'!K:K,1,FALSE)),"NO","YES")</f>
        <v>NO</v>
      </c>
      <c r="O49" s="35" t="s">
        <v>2858</v>
      </c>
      <c r="P49" s="35" t="s">
        <v>2858</v>
      </c>
    </row>
    <row r="50" spans="1:18" ht="15" customHeight="1" x14ac:dyDescent="0.25">
      <c r="D50" s="60" t="s">
        <v>256</v>
      </c>
      <c r="E50" s="56" t="s">
        <v>672</v>
      </c>
      <c r="F50" s="57" t="s">
        <v>2852</v>
      </c>
      <c r="G50" s="58" t="s">
        <v>1290</v>
      </c>
      <c r="H50" s="58" t="s">
        <v>1176</v>
      </c>
      <c r="I50" s="58">
        <v>0</v>
      </c>
      <c r="J50" s="59">
        <v>41009</v>
      </c>
      <c r="K50" s="59">
        <v>41212</v>
      </c>
      <c r="L50" s="58" t="s">
        <v>2645</v>
      </c>
      <c r="M50" s="33" t="str">
        <f>IF(ISNA(VLOOKUP(D50,'[3]Table APOQUA files'!$B:$B,1,FALSE)),"NO","YES")</f>
        <v>YES</v>
      </c>
      <c r="N50" s="33" t="str">
        <f>IF(ISNA(VLOOKUP(D50,'Base PFR table'!K:K,1,FALSE)),"NO","YES")</f>
        <v>NO</v>
      </c>
      <c r="O50" s="3" t="s">
        <v>2857</v>
      </c>
      <c r="P50" s="3" t="s">
        <v>2857</v>
      </c>
    </row>
    <row r="51" spans="1:18" s="18" customFormat="1" ht="15" customHeight="1" x14ac:dyDescent="0.25">
      <c r="A51" s="3" t="s">
        <v>2087</v>
      </c>
      <c r="B51" s="3"/>
      <c r="C51" s="35"/>
      <c r="D51" s="14" t="s">
        <v>254</v>
      </c>
      <c r="E51" s="15" t="s">
        <v>673</v>
      </c>
      <c r="F51" s="22" t="s">
        <v>1291</v>
      </c>
      <c r="G51" s="16" t="s">
        <v>1292</v>
      </c>
      <c r="H51" s="16" t="s">
        <v>1176</v>
      </c>
      <c r="I51" s="16" t="s">
        <v>2130</v>
      </c>
      <c r="J51" s="17">
        <v>41009</v>
      </c>
      <c r="K51" s="17">
        <v>44440</v>
      </c>
      <c r="L51" s="16" t="s">
        <v>1209</v>
      </c>
      <c r="M51" s="55" t="str">
        <f>IF(ISNA(VLOOKUP(D51,'[3]Table APOQUA files'!$B:$B,1,FALSE)),"NO","YES")</f>
        <v>YES</v>
      </c>
      <c r="N51" s="55" t="str">
        <f>IF(ISNA(VLOOKUP(D51,'Base PFR table'!K:K,1,FALSE)),"NO","YES")</f>
        <v>NO</v>
      </c>
      <c r="O51" s="35" t="s">
        <v>2858</v>
      </c>
      <c r="P51" s="35" t="s">
        <v>2858</v>
      </c>
    </row>
    <row r="52" spans="1:18" s="18" customFormat="1" ht="15" customHeight="1" x14ac:dyDescent="0.25">
      <c r="A52" s="3" t="s">
        <v>2087</v>
      </c>
      <c r="B52" s="3"/>
      <c r="C52" s="35"/>
      <c r="D52" s="14" t="s">
        <v>326</v>
      </c>
      <c r="E52" s="15" t="s">
        <v>674</v>
      </c>
      <c r="F52" s="22" t="s">
        <v>1293</v>
      </c>
      <c r="G52" s="16" t="s">
        <v>1294</v>
      </c>
      <c r="H52" s="16" t="s">
        <v>1172</v>
      </c>
      <c r="I52" s="16" t="s">
        <v>1186</v>
      </c>
      <c r="J52" s="17">
        <v>41095</v>
      </c>
      <c r="K52" s="17">
        <v>43074</v>
      </c>
      <c r="L52" s="16" t="s">
        <v>2843</v>
      </c>
      <c r="M52" s="55" t="str">
        <f>IF(ISNA(VLOOKUP(D52,'[3]Table APOQUA files'!$B:$B,1,FALSE)),"NO","YES")</f>
        <v>YES</v>
      </c>
      <c r="N52" s="55" t="str">
        <f>IF(ISNA(VLOOKUP(D52,'Base PFR table'!K:K,1,FALSE)),"NO","YES")</f>
        <v>NO</v>
      </c>
      <c r="O52" s="35" t="s">
        <v>2858</v>
      </c>
      <c r="P52" s="35" t="s">
        <v>2858</v>
      </c>
    </row>
    <row r="53" spans="1:18" ht="15" customHeight="1" x14ac:dyDescent="0.25">
      <c r="A53" s="3" t="s">
        <v>2087</v>
      </c>
      <c r="D53" s="1" t="s">
        <v>75</v>
      </c>
      <c r="E53" s="15" t="s">
        <v>675</v>
      </c>
      <c r="F53" s="20" t="s">
        <v>1295</v>
      </c>
      <c r="G53" s="9" t="s">
        <v>1296</v>
      </c>
      <c r="H53" s="9" t="s">
        <v>1178</v>
      </c>
      <c r="I53" s="9" t="s">
        <v>1186</v>
      </c>
      <c r="J53" s="10">
        <v>41117</v>
      </c>
      <c r="K53" s="10">
        <v>44098</v>
      </c>
      <c r="L53" s="9" t="s">
        <v>2843</v>
      </c>
      <c r="M53" s="33" t="str">
        <f>IF(ISNA(VLOOKUP(D53,'[3]Table APOQUA files'!$B:$B,1,FALSE)),"NO","YES")</f>
        <v>YES</v>
      </c>
      <c r="N53" s="33" t="str">
        <f>IF(ISNA(VLOOKUP(D53,'Base PFR table'!K:K,1,FALSE)),"NO","YES")</f>
        <v>NO</v>
      </c>
      <c r="O53" s="35" t="s">
        <v>2858</v>
      </c>
      <c r="P53" s="35" t="s">
        <v>2858</v>
      </c>
    </row>
    <row r="54" spans="1:18" ht="15" customHeight="1" x14ac:dyDescent="0.25">
      <c r="A54" s="3" t="s">
        <v>2087</v>
      </c>
      <c r="D54" s="1" t="s">
        <v>444</v>
      </c>
      <c r="E54" s="15" t="s">
        <v>676</v>
      </c>
      <c r="F54" s="20" t="s">
        <v>1297</v>
      </c>
      <c r="G54" s="9" t="s">
        <v>1298</v>
      </c>
      <c r="H54" s="9" t="s">
        <v>1173</v>
      </c>
      <c r="I54" s="9" t="s">
        <v>1186</v>
      </c>
      <c r="J54" s="10">
        <v>41165</v>
      </c>
      <c r="K54" s="10">
        <v>42999</v>
      </c>
      <c r="L54" s="9" t="s">
        <v>2843</v>
      </c>
      <c r="M54" s="33" t="str">
        <f>IF(ISNA(VLOOKUP(D54,'[3]Table APOQUA files'!$B:$B,1,FALSE)),"NO","YES")</f>
        <v>YES</v>
      </c>
      <c r="N54" s="33" t="str">
        <f>IF(ISNA(VLOOKUP(D54,'Base PFR table'!K:K,1,FALSE)),"NO","YES")</f>
        <v>NO</v>
      </c>
      <c r="O54" s="35" t="s">
        <v>2858</v>
      </c>
      <c r="P54" s="35" t="s">
        <v>2858</v>
      </c>
    </row>
    <row r="55" spans="1:18" s="18" customFormat="1" ht="15" customHeight="1" x14ac:dyDescent="0.25">
      <c r="A55" s="3" t="s">
        <v>2087</v>
      </c>
      <c r="B55" s="3"/>
      <c r="C55" s="35"/>
      <c r="D55" s="14" t="s">
        <v>73</v>
      </c>
      <c r="E55" s="15" t="s">
        <v>677</v>
      </c>
      <c r="F55" s="22" t="s">
        <v>1299</v>
      </c>
      <c r="G55" s="16" t="s">
        <v>1300</v>
      </c>
      <c r="H55" s="16" t="s">
        <v>1178</v>
      </c>
      <c r="I55" s="16" t="s">
        <v>1186</v>
      </c>
      <c r="J55" s="17">
        <v>41311</v>
      </c>
      <c r="K55" s="17">
        <v>44084</v>
      </c>
      <c r="L55" s="16" t="s">
        <v>2843</v>
      </c>
      <c r="M55" s="55" t="str">
        <f>IF(ISNA(VLOOKUP(D55,'[3]Table APOQUA files'!$B:$B,1,FALSE)),"NO","YES")</f>
        <v>YES</v>
      </c>
      <c r="N55" s="55" t="str">
        <f>IF(ISNA(VLOOKUP(D55,'Base PFR table'!K:K,1,FALSE)),"NO","YES")</f>
        <v>NO</v>
      </c>
      <c r="O55" s="35" t="s">
        <v>2858</v>
      </c>
      <c r="P55" s="35" t="s">
        <v>2858</v>
      </c>
    </row>
    <row r="56" spans="1:18" ht="15" customHeight="1" x14ac:dyDescent="0.25">
      <c r="A56" s="3" t="s">
        <v>2087</v>
      </c>
      <c r="D56" s="1" t="s">
        <v>224</v>
      </c>
      <c r="E56" s="15" t="s">
        <v>678</v>
      </c>
      <c r="F56" s="20" t="s">
        <v>1301</v>
      </c>
      <c r="G56" s="9" t="s">
        <v>1302</v>
      </c>
      <c r="H56" s="9" t="s">
        <v>1171</v>
      </c>
      <c r="I56" s="9" t="s">
        <v>2129</v>
      </c>
      <c r="J56" s="10">
        <v>41338</v>
      </c>
      <c r="K56" s="10">
        <v>43455</v>
      </c>
      <c r="L56" s="9" t="s">
        <v>2843</v>
      </c>
      <c r="M56" s="33" t="str">
        <f>IF(ISNA(VLOOKUP(D56,'[3]Table APOQUA files'!$B:$B,1,FALSE)),"NO","YES")</f>
        <v>YES</v>
      </c>
      <c r="N56" s="33" t="str">
        <f>IF(ISNA(VLOOKUP(D56,'Base PFR table'!K:K,1,FALSE)),"NO","YES")</f>
        <v>NO</v>
      </c>
      <c r="O56" s="35" t="s">
        <v>2858</v>
      </c>
      <c r="P56" s="35" t="s">
        <v>2858</v>
      </c>
    </row>
    <row r="57" spans="1:18" ht="15" customHeight="1" x14ac:dyDescent="0.25">
      <c r="A57" s="3" t="s">
        <v>2087</v>
      </c>
      <c r="C57" s="38"/>
      <c r="D57" s="1" t="s">
        <v>7</v>
      </c>
      <c r="E57" s="15" t="s">
        <v>679</v>
      </c>
      <c r="F57" s="20" t="s">
        <v>1303</v>
      </c>
      <c r="G57" s="9" t="s">
        <v>1304</v>
      </c>
      <c r="H57" s="9" t="s">
        <v>1171</v>
      </c>
      <c r="I57" s="9" t="s">
        <v>2133</v>
      </c>
      <c r="J57" s="10">
        <v>41347</v>
      </c>
      <c r="K57" s="10">
        <v>45372</v>
      </c>
      <c r="L57" s="9" t="s">
        <v>1207</v>
      </c>
      <c r="M57" s="33" t="str">
        <f>IF(ISNA(VLOOKUP(D57,'[3]Table APOQUA files'!$B:$B,1,FALSE)),"NO","YES")</f>
        <v>YES</v>
      </c>
      <c r="N57" s="33" t="str">
        <f>IF(ISNA(VLOOKUP(D57,'Base PFR table'!K:K,1,FALSE)),"NO","YES")</f>
        <v>YES</v>
      </c>
      <c r="O57" s="35" t="s">
        <v>2858</v>
      </c>
      <c r="P57" s="35" t="s">
        <v>2858</v>
      </c>
    </row>
    <row r="58" spans="1:18" ht="15" customHeight="1" x14ac:dyDescent="0.25">
      <c r="A58" s="3" t="s">
        <v>2087</v>
      </c>
      <c r="D58" s="1" t="s">
        <v>74</v>
      </c>
      <c r="E58" s="15" t="s">
        <v>680</v>
      </c>
      <c r="F58" s="20" t="s">
        <v>1305</v>
      </c>
      <c r="G58" s="9" t="s">
        <v>1306</v>
      </c>
      <c r="H58" s="9" t="s">
        <v>1178</v>
      </c>
      <c r="I58" s="9" t="s">
        <v>1186</v>
      </c>
      <c r="J58" s="10">
        <v>41358</v>
      </c>
      <c r="K58" s="10">
        <v>42975</v>
      </c>
      <c r="L58" s="9" t="s">
        <v>2843</v>
      </c>
      <c r="M58" s="33" t="str">
        <f>IF(ISNA(VLOOKUP(D58,'[3]Table APOQUA files'!$B:$B,1,FALSE)),"NO","YES")</f>
        <v>YES</v>
      </c>
      <c r="N58" s="33" t="str">
        <f>IF(ISNA(VLOOKUP(D58,'Base PFR table'!K:K,1,FALSE)),"NO","YES")</f>
        <v>NO</v>
      </c>
      <c r="O58" s="35" t="s">
        <v>2858</v>
      </c>
      <c r="P58" s="35" t="s">
        <v>2858</v>
      </c>
    </row>
    <row r="59" spans="1:18" ht="15" customHeight="1" x14ac:dyDescent="0.25">
      <c r="A59" s="3" t="s">
        <v>2087</v>
      </c>
      <c r="C59" s="38"/>
      <c r="D59" s="1" t="s">
        <v>127</v>
      </c>
      <c r="E59" s="15" t="s">
        <v>681</v>
      </c>
      <c r="F59" s="20" t="s">
        <v>1307</v>
      </c>
      <c r="G59" s="9" t="s">
        <v>1308</v>
      </c>
      <c r="H59" s="9" t="s">
        <v>1178</v>
      </c>
      <c r="I59" s="9" t="s">
        <v>1186</v>
      </c>
      <c r="J59" s="10">
        <v>41358</v>
      </c>
      <c r="K59" s="10">
        <v>45322</v>
      </c>
      <c r="L59" s="10" t="s">
        <v>1207</v>
      </c>
      <c r="M59" s="33" t="str">
        <f>IF(ISNA(VLOOKUP(D59,'[3]Table APOQUA files'!$B:$B,1,FALSE)),"NO","YES")</f>
        <v>YES</v>
      </c>
      <c r="N59" s="33" t="str">
        <f>IF(ISNA(VLOOKUP(D59,'Base PFR table'!K:K,1,FALSE)),"NO","YES")</f>
        <v>NO</v>
      </c>
      <c r="O59" s="35" t="s">
        <v>2870</v>
      </c>
      <c r="P59" s="35" t="s">
        <v>2803</v>
      </c>
      <c r="Q59" s="3" t="s">
        <v>2867</v>
      </c>
      <c r="R59" s="3" t="s">
        <v>2874</v>
      </c>
    </row>
    <row r="60" spans="1:18" ht="15" customHeight="1" x14ac:dyDescent="0.25">
      <c r="A60" s="3" t="s">
        <v>2087</v>
      </c>
      <c r="D60" s="1" t="s">
        <v>10</v>
      </c>
      <c r="E60" s="15" t="s">
        <v>682</v>
      </c>
      <c r="F60" s="20" t="s">
        <v>1309</v>
      </c>
      <c r="G60" s="9" t="s">
        <v>1310</v>
      </c>
      <c r="H60" s="9" t="s">
        <v>1169</v>
      </c>
      <c r="I60" s="9" t="s">
        <v>2125</v>
      </c>
      <c r="J60" s="10">
        <v>41443</v>
      </c>
      <c r="K60" s="10">
        <v>44895</v>
      </c>
      <c r="L60" s="9" t="s">
        <v>2843</v>
      </c>
      <c r="M60" s="33" t="str">
        <f>IF(ISNA(VLOOKUP(D60,'[3]Table APOQUA files'!$B:$B,1,FALSE)),"NO","YES")</f>
        <v>YES</v>
      </c>
      <c r="N60" s="33" t="str">
        <f>IF(ISNA(VLOOKUP(D60,'Base PFR table'!K:K,1,FALSE)),"NO","YES")</f>
        <v>NO</v>
      </c>
      <c r="O60" s="35" t="s">
        <v>2858</v>
      </c>
      <c r="P60" s="35" t="s">
        <v>2858</v>
      </c>
    </row>
    <row r="61" spans="1:18" s="18" customFormat="1" ht="15" customHeight="1" x14ac:dyDescent="0.25">
      <c r="A61" s="3" t="s">
        <v>2087</v>
      </c>
      <c r="B61" s="3"/>
      <c r="C61" s="38"/>
      <c r="D61" s="14" t="s">
        <v>118</v>
      </c>
      <c r="E61" s="90" t="s">
        <v>683</v>
      </c>
      <c r="F61" s="22" t="s">
        <v>1311</v>
      </c>
      <c r="G61" s="16" t="s">
        <v>1244</v>
      </c>
      <c r="H61" s="16" t="s">
        <v>1175</v>
      </c>
      <c r="I61" s="16" t="s">
        <v>1186</v>
      </c>
      <c r="J61" s="17">
        <v>41450</v>
      </c>
      <c r="K61" s="17">
        <v>41457</v>
      </c>
      <c r="L61" s="16" t="s">
        <v>2843</v>
      </c>
      <c r="M61" s="55" t="str">
        <f>IF(ISNA(VLOOKUP(D61,'[3]Table APOQUA files'!$B:$B,1,FALSE)),"NO","YES")</f>
        <v>YES</v>
      </c>
      <c r="N61" s="55" t="str">
        <f>IF(ISNA(VLOOKUP(D61,'Base PFR table'!K:K,1,FALSE)),"NO","YES")</f>
        <v>YES</v>
      </c>
      <c r="O61" s="35" t="s">
        <v>2858</v>
      </c>
      <c r="P61" s="35" t="s">
        <v>2858</v>
      </c>
    </row>
    <row r="62" spans="1:18" s="18" customFormat="1" ht="15" customHeight="1" x14ac:dyDescent="0.25">
      <c r="A62" s="3" t="s">
        <v>2087</v>
      </c>
      <c r="B62" s="3"/>
      <c r="C62" s="35"/>
      <c r="D62" s="14" t="s">
        <v>104</v>
      </c>
      <c r="E62" s="15" t="s">
        <v>684</v>
      </c>
      <c r="F62" s="22" t="s">
        <v>1312</v>
      </c>
      <c r="G62" s="16" t="s">
        <v>1313</v>
      </c>
      <c r="H62" s="16" t="s">
        <v>1172</v>
      </c>
      <c r="I62" s="16" t="s">
        <v>2130</v>
      </c>
      <c r="J62" s="17">
        <v>41457</v>
      </c>
      <c r="K62" s="17">
        <v>44076</v>
      </c>
      <c r="L62" s="16" t="s">
        <v>2843</v>
      </c>
      <c r="M62" s="55" t="str">
        <f>IF(ISNA(VLOOKUP(D62,'[3]Table APOQUA files'!$B:$B,1,FALSE)),"NO","YES")</f>
        <v>YES</v>
      </c>
      <c r="N62" s="55" t="str">
        <f>IF(ISNA(VLOOKUP(D62,'Base PFR table'!K:K,1,FALSE)),"NO","YES")</f>
        <v>NO</v>
      </c>
      <c r="O62" s="35" t="s">
        <v>2858</v>
      </c>
      <c r="P62" s="35" t="s">
        <v>2858</v>
      </c>
    </row>
    <row r="63" spans="1:18" ht="15" customHeight="1" x14ac:dyDescent="0.25">
      <c r="D63" s="60" t="s">
        <v>25</v>
      </c>
      <c r="E63" s="56" t="s">
        <v>685</v>
      </c>
      <c r="F63" s="57" t="s">
        <v>1314</v>
      </c>
      <c r="G63" s="58" t="s">
        <v>1315</v>
      </c>
      <c r="H63" s="58" t="s">
        <v>608</v>
      </c>
      <c r="I63" s="58" t="s">
        <v>2123</v>
      </c>
      <c r="J63" s="59">
        <v>41509</v>
      </c>
      <c r="K63" s="59">
        <v>44735</v>
      </c>
      <c r="L63" s="58" t="s">
        <v>2645</v>
      </c>
      <c r="M63" s="33" t="str">
        <f>IF(ISNA(VLOOKUP(D63,'[3]Table APOQUA files'!$B:$B,1,FALSE)),"NO","YES")</f>
        <v>YES</v>
      </c>
      <c r="N63" s="33" t="str">
        <f>IF(ISNA(VLOOKUP(D63,'Base PFR table'!K:K,1,FALSE)),"NO","YES")</f>
        <v>NO</v>
      </c>
      <c r="O63" s="3" t="s">
        <v>2857</v>
      </c>
      <c r="P63" s="3" t="s">
        <v>2857</v>
      </c>
    </row>
    <row r="64" spans="1:18" ht="15" customHeight="1" x14ac:dyDescent="0.25">
      <c r="A64" s="3" t="s">
        <v>2087</v>
      </c>
      <c r="D64" s="1" t="s">
        <v>372</v>
      </c>
      <c r="E64" s="15" t="s">
        <v>686</v>
      </c>
      <c r="F64" s="20" t="s">
        <v>1316</v>
      </c>
      <c r="G64" s="9" t="s">
        <v>1317</v>
      </c>
      <c r="H64" s="9" t="s">
        <v>1179</v>
      </c>
      <c r="I64" s="9" t="s">
        <v>2129</v>
      </c>
      <c r="J64" s="10">
        <v>41555</v>
      </c>
      <c r="K64" s="10">
        <v>42542</v>
      </c>
      <c r="L64" s="9" t="s">
        <v>2843</v>
      </c>
      <c r="M64" s="33" t="str">
        <f>IF(ISNA(VLOOKUP(D64,'[3]Table APOQUA files'!$B:$B,1,FALSE)),"NO","YES")</f>
        <v>YES</v>
      </c>
      <c r="N64" s="33" t="str">
        <f>IF(ISNA(VLOOKUP(D64,'Base PFR table'!K:K,1,FALSE)),"NO","YES")</f>
        <v>NO</v>
      </c>
      <c r="O64" s="35" t="s">
        <v>2858</v>
      </c>
      <c r="P64" s="35" t="s">
        <v>2858</v>
      </c>
    </row>
    <row r="65" spans="1:17" s="18" customFormat="1" ht="15" customHeight="1" x14ac:dyDescent="0.25">
      <c r="A65" s="3" t="s">
        <v>2087</v>
      </c>
      <c r="B65" s="3"/>
      <c r="C65" s="35"/>
      <c r="D65" s="14" t="s">
        <v>274</v>
      </c>
      <c r="E65" s="15" t="s">
        <v>687</v>
      </c>
      <c r="F65" s="22" t="s">
        <v>1318</v>
      </c>
      <c r="G65" s="16" t="s">
        <v>1319</v>
      </c>
      <c r="H65" s="16" t="s">
        <v>599</v>
      </c>
      <c r="I65" s="16" t="s">
        <v>2123</v>
      </c>
      <c r="J65" s="17">
        <v>41586</v>
      </c>
      <c r="K65" s="17">
        <v>45569</v>
      </c>
      <c r="L65" s="16" t="s">
        <v>1207</v>
      </c>
      <c r="M65" s="55" t="str">
        <f>IF(ISNA(VLOOKUP(D65,'[3]Table APOQUA files'!$B:$B,1,FALSE)),"NO","YES")</f>
        <v>YES</v>
      </c>
      <c r="N65" s="55" t="str">
        <f>IF(ISNA(VLOOKUP(D65,'Base PFR table'!K:K,1,FALSE)),"NO","YES")</f>
        <v>NO</v>
      </c>
      <c r="O65" s="35" t="s">
        <v>2858</v>
      </c>
      <c r="P65" s="35" t="s">
        <v>2858</v>
      </c>
    </row>
    <row r="66" spans="1:17" ht="15" customHeight="1" x14ac:dyDescent="0.25">
      <c r="A66" s="3" t="s">
        <v>2087</v>
      </c>
      <c r="D66" s="1" t="s">
        <v>123</v>
      </c>
      <c r="E66" s="15" t="s">
        <v>688</v>
      </c>
      <c r="F66" s="20" t="s">
        <v>1320</v>
      </c>
      <c r="G66" s="9" t="s">
        <v>1321</v>
      </c>
      <c r="H66" s="9" t="s">
        <v>1174</v>
      </c>
      <c r="I66" s="9" t="s">
        <v>2133</v>
      </c>
      <c r="J66" s="10">
        <v>41914</v>
      </c>
      <c r="K66" s="10">
        <v>44335</v>
      </c>
      <c r="L66" s="9" t="s">
        <v>2843</v>
      </c>
      <c r="M66" s="33" t="str">
        <f>IF(ISNA(VLOOKUP(D66,'[3]Table APOQUA files'!$B:$B,1,FALSE)),"NO","YES")</f>
        <v>YES</v>
      </c>
      <c r="N66" s="33" t="str">
        <f>IF(ISNA(VLOOKUP(D66,'Base PFR table'!K:K,1,FALSE)),"NO","YES")</f>
        <v>NO</v>
      </c>
      <c r="O66" s="35" t="s">
        <v>2858</v>
      </c>
      <c r="P66" s="35" t="s">
        <v>2858</v>
      </c>
    </row>
    <row r="67" spans="1:17" s="18" customFormat="1" ht="15" customHeight="1" x14ac:dyDescent="0.25">
      <c r="A67" s="3" t="s">
        <v>2087</v>
      </c>
      <c r="B67" s="3"/>
      <c r="C67" s="35"/>
      <c r="D67" s="14" t="s">
        <v>249</v>
      </c>
      <c r="E67" s="15" t="s">
        <v>689</v>
      </c>
      <c r="F67" s="22" t="s">
        <v>1322</v>
      </c>
      <c r="G67" s="16" t="s">
        <v>1323</v>
      </c>
      <c r="H67" s="16" t="s">
        <v>1174</v>
      </c>
      <c r="I67" s="16" t="s">
        <v>2130</v>
      </c>
      <c r="J67" s="17">
        <v>41940</v>
      </c>
      <c r="K67" s="17">
        <v>44081</v>
      </c>
      <c r="L67" s="16" t="s">
        <v>2843</v>
      </c>
      <c r="M67" s="55" t="str">
        <f>IF(ISNA(VLOOKUP(D67,'[3]Table APOQUA files'!$B:$B,1,FALSE)),"NO","YES")</f>
        <v>YES</v>
      </c>
      <c r="N67" s="55" t="str">
        <f>IF(ISNA(VLOOKUP(D67,'Base PFR table'!K:K,1,FALSE)),"NO","YES")</f>
        <v>NO</v>
      </c>
      <c r="O67" s="35" t="s">
        <v>2858</v>
      </c>
      <c r="P67" s="35" t="s">
        <v>2858</v>
      </c>
    </row>
    <row r="68" spans="1:17" s="18" customFormat="1" ht="15" customHeight="1" x14ac:dyDescent="0.25">
      <c r="A68" s="3" t="s">
        <v>2087</v>
      </c>
      <c r="B68" s="3"/>
      <c r="C68" s="35"/>
      <c r="D68" s="14" t="s">
        <v>248</v>
      </c>
      <c r="E68" s="15" t="s">
        <v>690</v>
      </c>
      <c r="F68" s="22" t="s">
        <v>1324</v>
      </c>
      <c r="G68" s="16" t="s">
        <v>1323</v>
      </c>
      <c r="H68" s="16" t="s">
        <v>1174</v>
      </c>
      <c r="I68" s="16" t="s">
        <v>2130</v>
      </c>
      <c r="J68" s="17">
        <v>41940</v>
      </c>
      <c r="K68" s="17">
        <v>44097</v>
      </c>
      <c r="L68" s="16" t="s">
        <v>2843</v>
      </c>
      <c r="M68" s="55" t="str">
        <f>IF(ISNA(VLOOKUP(D68,'[3]Table APOQUA files'!$B:$B,1,FALSE)),"NO","YES")</f>
        <v>YES</v>
      </c>
      <c r="N68" s="55" t="str">
        <f>IF(ISNA(VLOOKUP(D68,'Base PFR table'!K:K,1,FALSE)),"NO","YES")</f>
        <v>NO</v>
      </c>
      <c r="O68" s="35" t="s">
        <v>2858</v>
      </c>
      <c r="P68" s="35" t="s">
        <v>2858</v>
      </c>
    </row>
    <row r="69" spans="1:17" ht="15" customHeight="1" x14ac:dyDescent="0.25">
      <c r="D69" s="60" t="s">
        <v>260</v>
      </c>
      <c r="E69" s="56" t="s">
        <v>2853</v>
      </c>
      <c r="F69" s="57" t="s">
        <v>2854</v>
      </c>
      <c r="G69" s="58" t="s">
        <v>1323</v>
      </c>
      <c r="H69" s="58" t="s">
        <v>1174</v>
      </c>
      <c r="I69" s="58" t="s">
        <v>2130</v>
      </c>
      <c r="J69" s="59">
        <v>41941</v>
      </c>
      <c r="K69" s="59">
        <v>41946</v>
      </c>
      <c r="L69" s="58" t="s">
        <v>2645</v>
      </c>
      <c r="M69" s="33" t="str">
        <f>IF(ISNA(VLOOKUP(D69,'[3]Table APOQUA files'!$B:$B,1,FALSE)),"NO","YES")</f>
        <v>YES</v>
      </c>
      <c r="N69" s="33" t="str">
        <f>IF(ISNA(VLOOKUP(D69,'Base PFR table'!K:K,1,FALSE)),"NO","YES")</f>
        <v>NO</v>
      </c>
      <c r="O69" s="3" t="s">
        <v>2857</v>
      </c>
      <c r="P69" s="3" t="s">
        <v>2857</v>
      </c>
    </row>
    <row r="70" spans="1:17" ht="15" customHeight="1" x14ac:dyDescent="0.25">
      <c r="A70" s="3" t="s">
        <v>2087</v>
      </c>
      <c r="D70" s="1" t="s">
        <v>261</v>
      </c>
      <c r="E70" s="15" t="s">
        <v>691</v>
      </c>
      <c r="F70" s="20" t="s">
        <v>1325</v>
      </c>
      <c r="G70" s="9" t="s">
        <v>1326</v>
      </c>
      <c r="H70" s="9" t="s">
        <v>1174</v>
      </c>
      <c r="I70" s="9" t="s">
        <v>2130</v>
      </c>
      <c r="J70" s="10">
        <v>41941</v>
      </c>
      <c r="K70" s="10">
        <v>45593</v>
      </c>
      <c r="L70" s="9" t="s">
        <v>1209</v>
      </c>
      <c r="M70" s="33" t="str">
        <f>IF(ISNA(VLOOKUP(D70,'[3]Table APOQUA files'!$B:$B,1,FALSE)),"NO","YES")</f>
        <v>YES</v>
      </c>
      <c r="N70" s="33" t="str">
        <f>IF(ISNA(VLOOKUP(D70,'Base PFR table'!K:K,1,FALSE)),"NO","YES")</f>
        <v>NO</v>
      </c>
      <c r="O70" s="35" t="s">
        <v>2858</v>
      </c>
      <c r="P70" s="35" t="s">
        <v>2858</v>
      </c>
    </row>
    <row r="71" spans="1:17" ht="15" customHeight="1" x14ac:dyDescent="0.25">
      <c r="A71" s="3" t="s">
        <v>2087</v>
      </c>
      <c r="C71" s="38"/>
      <c r="D71" s="1" t="s">
        <v>149</v>
      </c>
      <c r="E71" s="15" t="s">
        <v>692</v>
      </c>
      <c r="F71" s="20" t="s">
        <v>1327</v>
      </c>
      <c r="G71" s="9" t="s">
        <v>1328</v>
      </c>
      <c r="H71" s="9" t="s">
        <v>1180</v>
      </c>
      <c r="I71" s="9" t="s">
        <v>2125</v>
      </c>
      <c r="J71" s="10">
        <v>42181</v>
      </c>
      <c r="K71" s="10">
        <v>45301</v>
      </c>
      <c r="L71" s="10" t="s">
        <v>1207</v>
      </c>
      <c r="M71" s="33" t="str">
        <f>IF(ISNA(VLOOKUP(D71,'[3]Table APOQUA files'!$B:$B,1,FALSE)),"NO","YES")</f>
        <v>YES</v>
      </c>
      <c r="N71" s="33" t="str">
        <f>IF(ISNA(VLOOKUP(D71,'Base PFR table'!K:K,1,FALSE)),"NO","YES")</f>
        <v>YES</v>
      </c>
      <c r="O71" s="35" t="s">
        <v>2803</v>
      </c>
      <c r="P71" s="35" t="s">
        <v>2803</v>
      </c>
      <c r="Q71" s="3" t="s">
        <v>2867</v>
      </c>
    </row>
    <row r="72" spans="1:17" ht="15" customHeight="1" x14ac:dyDescent="0.25">
      <c r="A72" s="3" t="s">
        <v>2087</v>
      </c>
      <c r="D72" s="1" t="s">
        <v>404</v>
      </c>
      <c r="E72" s="15" t="s">
        <v>693</v>
      </c>
      <c r="F72" s="20" t="s">
        <v>1330</v>
      </c>
      <c r="G72" s="9" t="s">
        <v>1331</v>
      </c>
      <c r="H72" s="9" t="s">
        <v>608</v>
      </c>
      <c r="I72" s="9" t="s">
        <v>2123</v>
      </c>
      <c r="J72" s="10">
        <v>39608</v>
      </c>
      <c r="K72" s="10">
        <v>45394</v>
      </c>
      <c r="L72" s="9" t="s">
        <v>1207</v>
      </c>
      <c r="M72" s="33" t="str">
        <f>IF(ISNA(VLOOKUP(D72,'[3]Table APOQUA files'!$B:$B,1,FALSE)),"NO","YES")</f>
        <v>YES</v>
      </c>
      <c r="N72" s="33" t="str">
        <f>IF(ISNA(VLOOKUP(D72,'Base PFR table'!K:K,1,FALSE)),"NO","YES")</f>
        <v>NO</v>
      </c>
      <c r="O72" s="35" t="s">
        <v>2858</v>
      </c>
      <c r="P72" s="35" t="s">
        <v>2858</v>
      </c>
    </row>
    <row r="73" spans="1:17" ht="15" customHeight="1" x14ac:dyDescent="0.25">
      <c r="A73" s="3" t="s">
        <v>2087</v>
      </c>
      <c r="D73" s="1" t="s">
        <v>393</v>
      </c>
      <c r="E73" s="15" t="s">
        <v>694</v>
      </c>
      <c r="F73" s="20" t="s">
        <v>1332</v>
      </c>
      <c r="G73" s="9" t="s">
        <v>1333</v>
      </c>
      <c r="H73" s="9" t="s">
        <v>1171</v>
      </c>
      <c r="I73" s="9" t="s">
        <v>2125</v>
      </c>
      <c r="J73" s="10">
        <v>42375</v>
      </c>
      <c r="K73" s="10">
        <v>42452</v>
      </c>
      <c r="L73" s="9" t="s">
        <v>2843</v>
      </c>
      <c r="M73" s="33" t="str">
        <f>IF(ISNA(VLOOKUP(D73,'[3]Table APOQUA files'!$B:$B,1,FALSE)),"NO","YES")</f>
        <v>YES</v>
      </c>
      <c r="N73" s="33" t="str">
        <f>IF(ISNA(VLOOKUP(D73,'Base PFR table'!K:K,1,FALSE)),"NO","YES")</f>
        <v>NO</v>
      </c>
      <c r="O73" s="35" t="s">
        <v>2858</v>
      </c>
      <c r="P73" s="35" t="s">
        <v>2858</v>
      </c>
    </row>
    <row r="74" spans="1:17" ht="15" customHeight="1" x14ac:dyDescent="0.25">
      <c r="A74" s="3" t="s">
        <v>2087</v>
      </c>
      <c r="D74" s="1" t="s">
        <v>237</v>
      </c>
      <c r="E74" s="15" t="s">
        <v>695</v>
      </c>
      <c r="F74" s="20" t="s">
        <v>1334</v>
      </c>
      <c r="G74" s="9" t="s">
        <v>1287</v>
      </c>
      <c r="H74" s="9" t="s">
        <v>1177</v>
      </c>
      <c r="I74" s="9" t="s">
        <v>2122</v>
      </c>
      <c r="J74" s="10">
        <v>42439</v>
      </c>
      <c r="K74" s="10">
        <v>42544</v>
      </c>
      <c r="L74" s="9" t="s">
        <v>2843</v>
      </c>
      <c r="M74" s="33" t="str">
        <f>IF(ISNA(VLOOKUP(D74,'[3]Table APOQUA files'!$B:$B,1,FALSE)),"NO","YES")</f>
        <v>YES</v>
      </c>
      <c r="N74" s="33" t="str">
        <f>IF(ISNA(VLOOKUP(D74,'Base PFR table'!K:K,1,FALSE)),"NO","YES")</f>
        <v>NO</v>
      </c>
      <c r="O74" s="35" t="s">
        <v>2858</v>
      </c>
      <c r="P74" s="35" t="s">
        <v>2858</v>
      </c>
    </row>
    <row r="75" spans="1:17" ht="15" customHeight="1" x14ac:dyDescent="0.25">
      <c r="A75" s="3" t="s">
        <v>2087</v>
      </c>
      <c r="C75" s="38"/>
      <c r="D75" s="1" t="s">
        <v>243</v>
      </c>
      <c r="E75" s="15" t="s">
        <v>696</v>
      </c>
      <c r="F75" s="20" t="s">
        <v>1335</v>
      </c>
      <c r="G75" s="9" t="s">
        <v>1336</v>
      </c>
      <c r="H75" s="9" t="s">
        <v>593</v>
      </c>
      <c r="I75" s="9" t="s">
        <v>2126</v>
      </c>
      <c r="J75" s="10">
        <v>42404</v>
      </c>
      <c r="K75" s="10">
        <v>45373</v>
      </c>
      <c r="L75" s="10" t="s">
        <v>1207</v>
      </c>
      <c r="M75" s="33" t="str">
        <f>IF(ISNA(VLOOKUP(D75,'[3]Table APOQUA files'!$B:$B,1,FALSE)),"NO","YES")</f>
        <v>YES</v>
      </c>
      <c r="N75" s="33" t="str">
        <f>IF(ISNA(VLOOKUP(D75,'Base PFR table'!K:K,1,FALSE)),"NO","YES")</f>
        <v>YES</v>
      </c>
      <c r="O75" s="35" t="s">
        <v>2858</v>
      </c>
      <c r="P75" s="35" t="s">
        <v>2858</v>
      </c>
    </row>
    <row r="76" spans="1:17" ht="15" customHeight="1" x14ac:dyDescent="0.25">
      <c r="A76" s="3" t="s">
        <v>2087</v>
      </c>
      <c r="D76" s="1" t="s">
        <v>376</v>
      </c>
      <c r="E76" s="15" t="s">
        <v>697</v>
      </c>
      <c r="F76" s="20" t="s">
        <v>1337</v>
      </c>
      <c r="G76" s="9" t="s">
        <v>1338</v>
      </c>
      <c r="H76" s="9" t="s">
        <v>1169</v>
      </c>
      <c r="I76" s="9" t="s">
        <v>2125</v>
      </c>
      <c r="J76" s="10">
        <v>42459</v>
      </c>
      <c r="K76" s="10">
        <v>42459</v>
      </c>
      <c r="L76" s="9" t="s">
        <v>2843</v>
      </c>
      <c r="M76" s="33" t="str">
        <f>IF(ISNA(VLOOKUP(D76,'[3]Table APOQUA files'!$B:$B,1,FALSE)),"NO","YES")</f>
        <v>YES</v>
      </c>
      <c r="N76" s="33" t="str">
        <f>IF(ISNA(VLOOKUP(D76,'Base PFR table'!K:K,1,FALSE)),"NO","YES")</f>
        <v>NO</v>
      </c>
      <c r="O76" s="35" t="s">
        <v>2858</v>
      </c>
      <c r="P76" s="35" t="s">
        <v>2858</v>
      </c>
    </row>
    <row r="77" spans="1:17" ht="15" customHeight="1" x14ac:dyDescent="0.25">
      <c r="A77" s="3" t="s">
        <v>2087</v>
      </c>
      <c r="D77" s="1" t="s">
        <v>468</v>
      </c>
      <c r="E77" s="15" t="s">
        <v>698</v>
      </c>
      <c r="F77" s="20" t="s">
        <v>1339</v>
      </c>
      <c r="G77" s="9" t="s">
        <v>1340</v>
      </c>
      <c r="H77" s="9" t="s">
        <v>1171</v>
      </c>
      <c r="I77" s="9" t="s">
        <v>2125</v>
      </c>
      <c r="J77" s="10">
        <v>43402</v>
      </c>
      <c r="K77" s="10">
        <v>43402</v>
      </c>
      <c r="L77" s="9" t="s">
        <v>2843</v>
      </c>
      <c r="M77" s="33" t="str">
        <f>IF(ISNA(VLOOKUP(D77,'[3]Table APOQUA files'!$B:$B,1,FALSE)),"NO","YES")</f>
        <v>YES</v>
      </c>
      <c r="N77" s="33" t="str">
        <f>IF(ISNA(VLOOKUP(D77,'Base PFR table'!K:K,1,FALSE)),"NO","YES")</f>
        <v>NO</v>
      </c>
      <c r="O77" s="35" t="s">
        <v>2858</v>
      </c>
      <c r="P77" s="35" t="s">
        <v>2858</v>
      </c>
    </row>
    <row r="78" spans="1:17" ht="15" customHeight="1" x14ac:dyDescent="0.25">
      <c r="A78" s="3" t="s">
        <v>2087</v>
      </c>
      <c r="D78" s="1" t="s">
        <v>76</v>
      </c>
      <c r="E78" s="15" t="s">
        <v>699</v>
      </c>
      <c r="F78" s="20" t="s">
        <v>1341</v>
      </c>
      <c r="G78" s="9" t="s">
        <v>1342</v>
      </c>
      <c r="H78" s="9" t="s">
        <v>1170</v>
      </c>
      <c r="I78" s="9" t="s">
        <v>2122</v>
      </c>
      <c r="J78" s="10">
        <v>42629</v>
      </c>
      <c r="K78" s="10">
        <v>44355</v>
      </c>
      <c r="L78" s="9" t="s">
        <v>2843</v>
      </c>
      <c r="M78" s="33" t="str">
        <f>IF(ISNA(VLOOKUP(D78,'[3]Table APOQUA files'!$B:$B,1,FALSE)),"NO","YES")</f>
        <v>YES</v>
      </c>
      <c r="N78" s="33" t="str">
        <f>IF(ISNA(VLOOKUP(D78,'Base PFR table'!K:K,1,FALSE)),"NO","YES")</f>
        <v>NO</v>
      </c>
      <c r="O78" s="35" t="s">
        <v>2858</v>
      </c>
      <c r="P78" s="35" t="s">
        <v>2858</v>
      </c>
    </row>
    <row r="79" spans="1:17" ht="15" customHeight="1" x14ac:dyDescent="0.25">
      <c r="A79" s="3" t="s">
        <v>2087</v>
      </c>
      <c r="D79" s="1" t="s">
        <v>169</v>
      </c>
      <c r="E79" s="15" t="s">
        <v>700</v>
      </c>
      <c r="F79" s="20" t="s">
        <v>1343</v>
      </c>
      <c r="G79" s="9" t="s">
        <v>1255</v>
      </c>
      <c r="H79" s="9" t="s">
        <v>1177</v>
      </c>
      <c r="I79" s="9" t="s">
        <v>2122</v>
      </c>
      <c r="J79" s="10">
        <v>42723</v>
      </c>
      <c r="K79" s="10">
        <v>44529</v>
      </c>
      <c r="L79" s="9" t="s">
        <v>2843</v>
      </c>
      <c r="M79" s="33" t="str">
        <f>IF(ISNA(VLOOKUP(D79,'[3]Table APOQUA files'!$B:$B,1,FALSE)),"NO","YES")</f>
        <v>YES</v>
      </c>
      <c r="N79" s="33" t="str">
        <f>IF(ISNA(VLOOKUP(D79,'Base PFR table'!K:K,1,FALSE)),"NO","YES")</f>
        <v>NO</v>
      </c>
      <c r="O79" s="35" t="s">
        <v>2858</v>
      </c>
      <c r="P79" s="35" t="s">
        <v>2858</v>
      </c>
    </row>
    <row r="80" spans="1:17" ht="15" customHeight="1" x14ac:dyDescent="0.25">
      <c r="A80" s="3" t="s">
        <v>2087</v>
      </c>
      <c r="D80" s="1" t="s">
        <v>162</v>
      </c>
      <c r="E80" s="15" t="s">
        <v>701</v>
      </c>
      <c r="F80" s="20" t="s">
        <v>1344</v>
      </c>
      <c r="G80" s="9" t="s">
        <v>1345</v>
      </c>
      <c r="H80" s="9" t="s">
        <v>1181</v>
      </c>
      <c r="I80" s="9" t="s">
        <v>2130</v>
      </c>
      <c r="J80" s="10">
        <v>42667</v>
      </c>
      <c r="K80" s="10">
        <v>42667</v>
      </c>
      <c r="L80" s="9" t="s">
        <v>2843</v>
      </c>
      <c r="M80" s="33" t="str">
        <f>IF(ISNA(VLOOKUP(D80,'[3]Table APOQUA files'!$B:$B,1,FALSE)),"NO","YES")</f>
        <v>YES</v>
      </c>
      <c r="N80" s="33" t="str">
        <f>IF(ISNA(VLOOKUP(D80,'Base PFR table'!K:K,1,FALSE)),"NO","YES")</f>
        <v>NO</v>
      </c>
      <c r="O80" s="35" t="s">
        <v>2858</v>
      </c>
      <c r="P80" s="35" t="s">
        <v>2858</v>
      </c>
    </row>
    <row r="81" spans="1:16" ht="15" customHeight="1" x14ac:dyDescent="0.25">
      <c r="A81" s="3" t="s">
        <v>2087</v>
      </c>
      <c r="D81" s="1" t="s">
        <v>27</v>
      </c>
      <c r="E81" s="15" t="s">
        <v>702</v>
      </c>
      <c r="F81" s="20" t="s">
        <v>1346</v>
      </c>
      <c r="G81" s="9" t="s">
        <v>1340</v>
      </c>
      <c r="H81" s="9" t="s">
        <v>1171</v>
      </c>
      <c r="I81" s="9" t="s">
        <v>2133</v>
      </c>
      <c r="J81" s="10">
        <v>42542</v>
      </c>
      <c r="K81" s="10">
        <v>42542</v>
      </c>
      <c r="L81" s="9" t="s">
        <v>2843</v>
      </c>
      <c r="M81" s="33" t="str">
        <f>IF(ISNA(VLOOKUP(D81,'[3]Table APOQUA files'!$B:$B,1,FALSE)),"NO","YES")</f>
        <v>YES</v>
      </c>
      <c r="N81" s="33" t="str">
        <f>IF(ISNA(VLOOKUP(D81,'Base PFR table'!K:K,1,FALSE)),"NO","YES")</f>
        <v>NO</v>
      </c>
      <c r="O81" s="35" t="s">
        <v>2858</v>
      </c>
      <c r="P81" s="35" t="s">
        <v>2858</v>
      </c>
    </row>
    <row r="82" spans="1:16" ht="15" customHeight="1" x14ac:dyDescent="0.25">
      <c r="A82" s="3" t="s">
        <v>2087</v>
      </c>
      <c r="D82" s="1" t="s">
        <v>199</v>
      </c>
      <c r="E82" s="15" t="s">
        <v>703</v>
      </c>
      <c r="F82" s="20" t="s">
        <v>1347</v>
      </c>
      <c r="G82" s="9" t="s">
        <v>1348</v>
      </c>
      <c r="H82" s="9" t="s">
        <v>599</v>
      </c>
      <c r="I82" s="9" t="s">
        <v>2123</v>
      </c>
      <c r="J82" s="10">
        <v>39608</v>
      </c>
      <c r="K82" s="10">
        <v>42823</v>
      </c>
      <c r="L82" s="9" t="s">
        <v>2843</v>
      </c>
      <c r="M82" s="33" t="str">
        <f>IF(ISNA(VLOOKUP(D82,'[3]Table APOQUA files'!$B:$B,1,FALSE)),"NO","YES")</f>
        <v>YES</v>
      </c>
      <c r="N82" s="33" t="str">
        <f>IF(ISNA(VLOOKUP(D82,'Base PFR table'!K:K,1,FALSE)),"NO","YES")</f>
        <v>NO</v>
      </c>
      <c r="O82" s="35" t="s">
        <v>2858</v>
      </c>
      <c r="P82" s="35" t="s">
        <v>2858</v>
      </c>
    </row>
    <row r="83" spans="1:16" ht="15" customHeight="1" x14ac:dyDescent="0.25">
      <c r="A83" s="3" t="s">
        <v>2087</v>
      </c>
      <c r="D83" s="1" t="s">
        <v>438</v>
      </c>
      <c r="E83" s="15" t="s">
        <v>704</v>
      </c>
      <c r="F83" s="20" t="s">
        <v>1349</v>
      </c>
      <c r="G83" s="9" t="s">
        <v>1348</v>
      </c>
      <c r="H83" s="9" t="s">
        <v>599</v>
      </c>
      <c r="I83" s="9" t="s">
        <v>2123</v>
      </c>
      <c r="J83" s="10">
        <v>39608</v>
      </c>
      <c r="K83" s="10">
        <v>42818</v>
      </c>
      <c r="L83" s="9" t="s">
        <v>2843</v>
      </c>
      <c r="M83" s="33" t="str">
        <f>IF(ISNA(VLOOKUP(D83,'[3]Table APOQUA files'!$B:$B,1,FALSE)),"NO","YES")</f>
        <v>YES</v>
      </c>
      <c r="N83" s="33" t="str">
        <f>IF(ISNA(VLOOKUP(D83,'Base PFR table'!K:K,1,FALSE)),"NO","YES")</f>
        <v>NO</v>
      </c>
      <c r="O83" s="35" t="s">
        <v>2858</v>
      </c>
      <c r="P83" s="35" t="s">
        <v>2858</v>
      </c>
    </row>
    <row r="84" spans="1:16" ht="15" customHeight="1" x14ac:dyDescent="0.25">
      <c r="A84" s="3" t="s">
        <v>2087</v>
      </c>
      <c r="D84" s="102" t="s">
        <v>37</v>
      </c>
      <c r="E84" s="15" t="s">
        <v>705</v>
      </c>
      <c r="F84" s="20" t="s">
        <v>1350</v>
      </c>
      <c r="G84" s="9" t="s">
        <v>1348</v>
      </c>
      <c r="H84" s="9" t="s">
        <v>599</v>
      </c>
      <c r="I84" s="9" t="s">
        <v>2123</v>
      </c>
      <c r="J84" s="10">
        <v>39608</v>
      </c>
      <c r="K84" s="10">
        <v>42773</v>
      </c>
      <c r="L84" s="9" t="s">
        <v>2843</v>
      </c>
      <c r="M84" s="33" t="str">
        <f>IF(ISNA(VLOOKUP(D84,'[3]Table APOQUA files'!$B:$B,1,FALSE)),"NO","YES")</f>
        <v>YES</v>
      </c>
      <c r="N84" s="33" t="str">
        <f>IF(ISNA(VLOOKUP(D84,'Base PFR table'!K:K,1,FALSE)),"NO","YES")</f>
        <v>NO</v>
      </c>
      <c r="O84" s="101" t="s">
        <v>2803</v>
      </c>
      <c r="P84" s="101" t="s">
        <v>2865</v>
      </c>
    </row>
    <row r="85" spans="1:16" ht="15" customHeight="1" x14ac:dyDescent="0.25">
      <c r="A85" s="3" t="s">
        <v>2087</v>
      </c>
      <c r="D85" s="1" t="s">
        <v>40</v>
      </c>
      <c r="E85" s="15" t="s">
        <v>706</v>
      </c>
      <c r="F85" s="20" t="s">
        <v>1351</v>
      </c>
      <c r="G85" s="9" t="s">
        <v>1220</v>
      </c>
      <c r="H85" s="9" t="s">
        <v>1170</v>
      </c>
      <c r="I85" s="9" t="s">
        <v>2133</v>
      </c>
      <c r="J85" s="10">
        <v>42810</v>
      </c>
      <c r="K85" s="10">
        <v>42810</v>
      </c>
      <c r="L85" s="9" t="s">
        <v>2843</v>
      </c>
      <c r="M85" s="33" t="str">
        <f>IF(ISNA(VLOOKUP(D85,'[3]Table APOQUA files'!$B:$B,1,FALSE)),"NO","YES")</f>
        <v>YES</v>
      </c>
      <c r="N85" s="33" t="str">
        <f>IF(ISNA(VLOOKUP(D85,'Base PFR table'!K:K,1,FALSE)),"NO","YES")</f>
        <v>NO</v>
      </c>
      <c r="O85" s="35" t="s">
        <v>2858</v>
      </c>
      <c r="P85" s="35" t="s">
        <v>2858</v>
      </c>
    </row>
    <row r="86" spans="1:16" ht="15" customHeight="1" x14ac:dyDescent="0.25">
      <c r="A86" s="3" t="s">
        <v>2087</v>
      </c>
      <c r="D86" s="1" t="s">
        <v>317</v>
      </c>
      <c r="E86" s="15" t="s">
        <v>707</v>
      </c>
      <c r="F86" s="20" t="s">
        <v>1352</v>
      </c>
      <c r="G86" s="9" t="s">
        <v>1220</v>
      </c>
      <c r="H86" s="9" t="s">
        <v>1170</v>
      </c>
      <c r="I86" s="9" t="s">
        <v>2133</v>
      </c>
      <c r="J86" s="10">
        <v>39608</v>
      </c>
      <c r="K86" s="10">
        <v>42866</v>
      </c>
      <c r="L86" s="9" t="s">
        <v>2843</v>
      </c>
      <c r="M86" s="33" t="str">
        <f>IF(ISNA(VLOOKUP(D86,'[3]Table APOQUA files'!$B:$B,1,FALSE)),"NO","YES")</f>
        <v>YES</v>
      </c>
      <c r="N86" s="33" t="str">
        <f>IF(ISNA(VLOOKUP(D86,'Base PFR table'!K:K,1,FALSE)),"NO","YES")</f>
        <v>NO</v>
      </c>
      <c r="O86" s="35" t="s">
        <v>2858</v>
      </c>
      <c r="P86" s="35" t="s">
        <v>2858</v>
      </c>
    </row>
    <row r="87" spans="1:16" ht="15" customHeight="1" x14ac:dyDescent="0.25">
      <c r="A87" s="3" t="s">
        <v>2087</v>
      </c>
      <c r="D87" s="1" t="s">
        <v>433</v>
      </c>
      <c r="E87" s="15" t="s">
        <v>708</v>
      </c>
      <c r="F87" s="20" t="s">
        <v>1353</v>
      </c>
      <c r="G87" s="9" t="s">
        <v>1220</v>
      </c>
      <c r="H87" s="9" t="s">
        <v>1170</v>
      </c>
      <c r="I87" s="9" t="s">
        <v>2133</v>
      </c>
      <c r="J87" s="10">
        <v>42797</v>
      </c>
      <c r="K87" s="10">
        <v>42797</v>
      </c>
      <c r="L87" s="9" t="s">
        <v>2843</v>
      </c>
      <c r="M87" s="33" t="str">
        <f>IF(ISNA(VLOOKUP(D87,'[3]Table APOQUA files'!$B:$B,1,FALSE)),"NO","YES")</f>
        <v>YES</v>
      </c>
      <c r="N87" s="33" t="str">
        <f>IF(ISNA(VLOOKUP(D87,'Base PFR table'!K:K,1,FALSE)),"NO","YES")</f>
        <v>NO</v>
      </c>
      <c r="O87" s="35" t="s">
        <v>2858</v>
      </c>
      <c r="P87" s="35" t="s">
        <v>2858</v>
      </c>
    </row>
    <row r="88" spans="1:16" ht="15" customHeight="1" x14ac:dyDescent="0.25">
      <c r="A88" s="3" t="s">
        <v>2087</v>
      </c>
      <c r="D88" s="1" t="s">
        <v>353</v>
      </c>
      <c r="E88" s="15" t="s">
        <v>709</v>
      </c>
      <c r="F88" s="20" t="s">
        <v>1354</v>
      </c>
      <c r="G88" s="9" t="s">
        <v>1206</v>
      </c>
      <c r="H88" s="9" t="s">
        <v>593</v>
      </c>
      <c r="I88" s="9" t="s">
        <v>2122</v>
      </c>
      <c r="J88" s="10">
        <v>43061</v>
      </c>
      <c r="K88" s="10">
        <v>43061</v>
      </c>
      <c r="L88" s="9" t="s">
        <v>2843</v>
      </c>
      <c r="M88" s="33" t="str">
        <f>IF(ISNA(VLOOKUP(D88,'[3]Table APOQUA files'!$B:$B,1,FALSE)),"NO","YES")</f>
        <v>YES</v>
      </c>
      <c r="N88" s="33" t="str">
        <f>IF(ISNA(VLOOKUP(D88,'Base PFR table'!K:K,1,FALSE)),"NO","YES")</f>
        <v>NO</v>
      </c>
      <c r="O88" s="35" t="s">
        <v>2858</v>
      </c>
      <c r="P88" s="35" t="s">
        <v>2858</v>
      </c>
    </row>
    <row r="89" spans="1:16" ht="15" customHeight="1" x14ac:dyDescent="0.25">
      <c r="A89" s="3" t="s">
        <v>2087</v>
      </c>
      <c r="D89" s="102" t="s">
        <v>396</v>
      </c>
      <c r="E89" s="15" t="s">
        <v>710</v>
      </c>
      <c r="F89" s="20" t="s">
        <v>1355</v>
      </c>
      <c r="G89" s="9" t="s">
        <v>1356</v>
      </c>
      <c r="H89" s="9" t="s">
        <v>599</v>
      </c>
      <c r="I89" s="9" t="s">
        <v>2057</v>
      </c>
      <c r="J89" s="10">
        <v>39608</v>
      </c>
      <c r="K89" s="10">
        <v>45687</v>
      </c>
      <c r="L89" s="9" t="s">
        <v>1207</v>
      </c>
      <c r="M89" s="33" t="str">
        <f>IF(ISNA(VLOOKUP(D89,'[3]Table APOQUA files'!$B:$B,1,FALSE)),"NO","YES")</f>
        <v>YES</v>
      </c>
      <c r="N89" s="33" t="str">
        <f>IF(ISNA(VLOOKUP(D89,'Base PFR table'!K:K,1,FALSE)),"NO","YES")</f>
        <v>YES</v>
      </c>
      <c r="O89" s="101" t="s">
        <v>2803</v>
      </c>
      <c r="P89" s="101" t="s">
        <v>2803</v>
      </c>
    </row>
    <row r="90" spans="1:16" ht="15" customHeight="1" x14ac:dyDescent="0.25">
      <c r="A90" s="3" t="s">
        <v>2087</v>
      </c>
      <c r="D90" s="1" t="s">
        <v>124</v>
      </c>
      <c r="E90" s="15" t="s">
        <v>711</v>
      </c>
      <c r="F90" s="20" t="s">
        <v>1357</v>
      </c>
      <c r="G90" s="9" t="s">
        <v>1358</v>
      </c>
      <c r="H90" s="9" t="s">
        <v>1171</v>
      </c>
      <c r="I90" s="9" t="s">
        <v>2123</v>
      </c>
      <c r="J90" s="10">
        <v>41914</v>
      </c>
      <c r="K90" s="10">
        <v>45182</v>
      </c>
      <c r="L90" s="9" t="s">
        <v>2843</v>
      </c>
      <c r="M90" s="33" t="str">
        <f>IF(ISNA(VLOOKUP(D90,'[3]Table APOQUA files'!$B:$B,1,FALSE)),"NO","YES")</f>
        <v>YES</v>
      </c>
      <c r="N90" s="33" t="str">
        <f>IF(ISNA(VLOOKUP(D90,'Base PFR table'!K:K,1,FALSE)),"NO","YES")</f>
        <v>NO</v>
      </c>
      <c r="O90" s="35" t="s">
        <v>2858</v>
      </c>
      <c r="P90" s="35" t="s">
        <v>2858</v>
      </c>
    </row>
    <row r="91" spans="1:16" ht="15" customHeight="1" x14ac:dyDescent="0.25">
      <c r="A91" s="3" t="s">
        <v>2087</v>
      </c>
      <c r="D91" s="1" t="s">
        <v>456</v>
      </c>
      <c r="E91" s="15" t="s">
        <v>712</v>
      </c>
      <c r="F91" s="20" t="s">
        <v>1359</v>
      </c>
      <c r="G91" s="9" t="s">
        <v>1360</v>
      </c>
      <c r="H91" s="9" t="s">
        <v>608</v>
      </c>
      <c r="I91" s="9" t="s">
        <v>2122</v>
      </c>
      <c r="J91" s="10">
        <v>39608</v>
      </c>
      <c r="K91" s="10">
        <v>43181</v>
      </c>
      <c r="L91" s="9" t="s">
        <v>2843</v>
      </c>
      <c r="M91" s="33" t="str">
        <f>IF(ISNA(VLOOKUP(D91,'[3]Table APOQUA files'!$B:$B,1,FALSE)),"NO","YES")</f>
        <v>YES</v>
      </c>
      <c r="N91" s="33" t="str">
        <f>IF(ISNA(VLOOKUP(D91,'Base PFR table'!K:K,1,FALSE)),"NO","YES")</f>
        <v>NO</v>
      </c>
      <c r="O91" s="35" t="s">
        <v>2858</v>
      </c>
      <c r="P91" s="35" t="s">
        <v>2858</v>
      </c>
    </row>
    <row r="92" spans="1:16" ht="15" customHeight="1" x14ac:dyDescent="0.25">
      <c r="A92" s="3" t="s">
        <v>2087</v>
      </c>
      <c r="D92" s="1" t="s">
        <v>50</v>
      </c>
      <c r="E92" s="15" t="s">
        <v>713</v>
      </c>
      <c r="F92" s="20" t="s">
        <v>1361</v>
      </c>
      <c r="G92" s="9" t="s">
        <v>1362</v>
      </c>
      <c r="H92" s="9" t="s">
        <v>1171</v>
      </c>
      <c r="I92" s="9" t="s">
        <v>2133</v>
      </c>
      <c r="J92" s="10">
        <v>43705</v>
      </c>
      <c r="K92" s="10">
        <v>45687</v>
      </c>
      <c r="L92" s="9" t="s">
        <v>1207</v>
      </c>
      <c r="M92" s="33" t="str">
        <f>IF(ISNA(VLOOKUP(D92,'[3]Table APOQUA files'!$B:$B,1,FALSE)),"NO","YES")</f>
        <v>YES</v>
      </c>
      <c r="N92" s="33" t="str">
        <f>IF(ISNA(VLOOKUP(D92,'Base PFR table'!K:K,1,FALSE)),"NO","YES")</f>
        <v>NO</v>
      </c>
      <c r="O92" s="35" t="s">
        <v>2858</v>
      </c>
      <c r="P92" s="35" t="s">
        <v>2858</v>
      </c>
    </row>
    <row r="93" spans="1:16" ht="15" customHeight="1" x14ac:dyDescent="0.25">
      <c r="A93" s="3" t="s">
        <v>2087</v>
      </c>
      <c r="D93" s="103" t="s">
        <v>2564</v>
      </c>
      <c r="E93" s="15" t="s">
        <v>714</v>
      </c>
      <c r="F93" s="20" t="s">
        <v>1363</v>
      </c>
      <c r="G93" s="9" t="s">
        <v>1364</v>
      </c>
      <c r="H93" s="9" t="s">
        <v>608</v>
      </c>
      <c r="I93" s="9" t="s">
        <v>2123</v>
      </c>
      <c r="J93" s="10">
        <v>43206</v>
      </c>
      <c r="K93" s="10">
        <v>43206</v>
      </c>
      <c r="L93" s="9" t="s">
        <v>2843</v>
      </c>
      <c r="M93" s="33" t="str">
        <f>IF(ISNA(VLOOKUP(D93,'[3]Table APOQUA files'!$B:$B,1,FALSE)),"NO","YES")</f>
        <v>NO</v>
      </c>
      <c r="N93" s="33" t="str">
        <f>IF(ISNA(VLOOKUP(D93,'Base PFR table'!K:K,1,FALSE)),"NO","YES")</f>
        <v>NO</v>
      </c>
      <c r="O93" s="104" t="s">
        <v>2859</v>
      </c>
      <c r="P93" s="104" t="s">
        <v>2859</v>
      </c>
    </row>
    <row r="94" spans="1:16" ht="15" customHeight="1" x14ac:dyDescent="0.25">
      <c r="A94" s="3" t="s">
        <v>2087</v>
      </c>
      <c r="D94" s="1" t="s">
        <v>430</v>
      </c>
      <c r="E94" s="15" t="s">
        <v>715</v>
      </c>
      <c r="F94" s="20" t="s">
        <v>1365</v>
      </c>
      <c r="G94" s="9" t="s">
        <v>1306</v>
      </c>
      <c r="H94" s="9" t="s">
        <v>1178</v>
      </c>
      <c r="I94" s="9" t="s">
        <v>1186</v>
      </c>
      <c r="J94" s="10">
        <v>43090</v>
      </c>
      <c r="K94" s="10">
        <v>45043</v>
      </c>
      <c r="L94" s="9" t="s">
        <v>2843</v>
      </c>
      <c r="M94" s="33" t="str">
        <f>IF(ISNA(VLOOKUP(D94,'[3]Table APOQUA files'!$B:$B,1,FALSE)),"NO","YES")</f>
        <v>YES</v>
      </c>
      <c r="N94" s="33" t="str">
        <f>IF(ISNA(VLOOKUP(D94,'Base PFR table'!K:K,1,FALSE)),"NO","YES")</f>
        <v>NO</v>
      </c>
      <c r="O94" s="35" t="s">
        <v>2858</v>
      </c>
      <c r="P94" s="35" t="s">
        <v>2858</v>
      </c>
    </row>
    <row r="95" spans="1:16" ht="15" customHeight="1" x14ac:dyDescent="0.25">
      <c r="A95" s="3" t="s">
        <v>2087</v>
      </c>
      <c r="D95" s="1" t="s">
        <v>2565</v>
      </c>
      <c r="E95" s="15" t="s">
        <v>716</v>
      </c>
      <c r="F95" s="20" t="s">
        <v>1366</v>
      </c>
      <c r="G95" s="9" t="s">
        <v>1358</v>
      </c>
      <c r="H95" s="9" t="s">
        <v>1171</v>
      </c>
      <c r="I95" s="9" t="s">
        <v>2122</v>
      </c>
      <c r="J95" s="10">
        <v>43173</v>
      </c>
      <c r="K95" s="10">
        <v>45587</v>
      </c>
      <c r="L95" s="9" t="s">
        <v>1209</v>
      </c>
      <c r="M95" s="33" t="str">
        <f>IF(ISNA(VLOOKUP(D95,'[3]Table APOQUA files'!$B:$B,1,FALSE)),"NO","YES")</f>
        <v>NO</v>
      </c>
      <c r="N95" s="33" t="str">
        <f>IF(ISNA(VLOOKUP(D95,'Base PFR table'!K:K,1,FALSE)),"NO","YES")</f>
        <v>NO</v>
      </c>
      <c r="O95" s="35" t="s">
        <v>2858</v>
      </c>
      <c r="P95" s="35" t="s">
        <v>2858</v>
      </c>
    </row>
    <row r="96" spans="1:16" ht="15" customHeight="1" x14ac:dyDescent="0.25">
      <c r="A96" s="3" t="s">
        <v>2087</v>
      </c>
      <c r="D96" s="1" t="s">
        <v>437</v>
      </c>
      <c r="E96" s="15" t="s">
        <v>717</v>
      </c>
      <c r="F96" s="20" t="s">
        <v>1367</v>
      </c>
      <c r="G96" s="9" t="s">
        <v>1238</v>
      </c>
      <c r="H96" s="9" t="s">
        <v>1172</v>
      </c>
      <c r="I96" s="9" t="s">
        <v>2130</v>
      </c>
      <c r="J96" s="10">
        <v>39608</v>
      </c>
      <c r="K96" s="10">
        <v>43531</v>
      </c>
      <c r="L96" s="9" t="s">
        <v>1207</v>
      </c>
      <c r="M96" s="33" t="str">
        <f>IF(ISNA(VLOOKUP(D96,'[3]Table APOQUA files'!$B:$B,1,FALSE)),"NO","YES")</f>
        <v>YES</v>
      </c>
      <c r="N96" s="33" t="str">
        <f>IF(ISNA(VLOOKUP(D96,'Base PFR table'!K:K,1,FALSE)),"NO","YES")</f>
        <v>NO</v>
      </c>
      <c r="O96" s="35" t="s">
        <v>2858</v>
      </c>
      <c r="P96" s="35" t="s">
        <v>2858</v>
      </c>
    </row>
    <row r="97" spans="1:16" ht="15" customHeight="1" x14ac:dyDescent="0.25">
      <c r="A97" s="3" t="s">
        <v>2087</v>
      </c>
      <c r="D97" s="1" t="s">
        <v>407</v>
      </c>
      <c r="E97" s="15" t="s">
        <v>718</v>
      </c>
      <c r="F97" s="20" t="s">
        <v>1368</v>
      </c>
      <c r="G97" s="9" t="s">
        <v>1369</v>
      </c>
      <c r="H97" s="9" t="s">
        <v>1173</v>
      </c>
      <c r="I97" s="9" t="s">
        <v>1186</v>
      </c>
      <c r="J97" s="10">
        <v>39608</v>
      </c>
      <c r="K97" s="10">
        <v>45203</v>
      </c>
      <c r="L97" s="9" t="s">
        <v>2843</v>
      </c>
      <c r="M97" s="33" t="str">
        <f>IF(ISNA(VLOOKUP(D97,'[3]Table APOQUA files'!$B:$B,1,FALSE)),"NO","YES")</f>
        <v>YES</v>
      </c>
      <c r="N97" s="33" t="str">
        <f>IF(ISNA(VLOOKUP(D97,'Base PFR table'!K:K,1,FALSE)),"NO","YES")</f>
        <v>NO</v>
      </c>
      <c r="O97" s="35" t="s">
        <v>2858</v>
      </c>
      <c r="P97" s="35" t="s">
        <v>2858</v>
      </c>
    </row>
    <row r="98" spans="1:16" s="18" customFormat="1" ht="15" customHeight="1" x14ac:dyDescent="0.25">
      <c r="A98" s="3" t="s">
        <v>2087</v>
      </c>
      <c r="B98" s="3"/>
      <c r="C98" s="35"/>
      <c r="D98" s="14" t="s">
        <v>1198</v>
      </c>
      <c r="E98" s="15" t="s">
        <v>1201</v>
      </c>
      <c r="F98" s="22" t="s">
        <v>1958</v>
      </c>
      <c r="G98" s="16" t="s">
        <v>1959</v>
      </c>
      <c r="H98" s="16"/>
      <c r="I98" s="16" t="s">
        <v>2122</v>
      </c>
      <c r="J98" s="17">
        <v>44704</v>
      </c>
      <c r="K98" s="17" t="s">
        <v>1262</v>
      </c>
      <c r="L98" s="17" t="s">
        <v>1209</v>
      </c>
      <c r="M98" s="55" t="str">
        <f>IF(ISNA(VLOOKUP(D98,'[3]Table APOQUA files'!$B:$B,1,FALSE)),"NO","YES")</f>
        <v>YES</v>
      </c>
      <c r="N98" s="55" t="str">
        <f>IF(ISNA(VLOOKUP(D98,'Base PFR table'!K:K,1,FALSE)),"NO","YES")</f>
        <v>NO</v>
      </c>
      <c r="O98" s="35" t="s">
        <v>2858</v>
      </c>
      <c r="P98" s="35" t="s">
        <v>2858</v>
      </c>
    </row>
    <row r="99" spans="1:16" ht="15" customHeight="1" x14ac:dyDescent="0.25">
      <c r="A99" s="3" t="s">
        <v>2087</v>
      </c>
      <c r="D99" s="1" t="s">
        <v>470</v>
      </c>
      <c r="E99" s="15" t="s">
        <v>719</v>
      </c>
      <c r="F99" s="20" t="s">
        <v>1371</v>
      </c>
      <c r="G99" s="9" t="s">
        <v>1372</v>
      </c>
      <c r="H99" s="9" t="s">
        <v>1169</v>
      </c>
      <c r="I99" s="9" t="s">
        <v>2125</v>
      </c>
      <c r="J99" s="10">
        <v>43500</v>
      </c>
      <c r="K99" s="10">
        <v>43500</v>
      </c>
      <c r="L99" s="9" t="s">
        <v>2843</v>
      </c>
      <c r="M99" s="33" t="str">
        <f>IF(ISNA(VLOOKUP(D99,'[3]Table APOQUA files'!$B:$B,1,FALSE)),"NO","YES")</f>
        <v>YES</v>
      </c>
      <c r="N99" s="33" t="str">
        <f>IF(ISNA(VLOOKUP(D99,'Base PFR table'!K:K,1,FALSE)),"NO","YES")</f>
        <v>NO</v>
      </c>
      <c r="O99" s="35" t="s">
        <v>2858</v>
      </c>
      <c r="P99" s="35" t="s">
        <v>2858</v>
      </c>
    </row>
    <row r="100" spans="1:16" ht="15" customHeight="1" x14ac:dyDescent="0.25">
      <c r="A100" s="3" t="s">
        <v>2087</v>
      </c>
      <c r="D100" s="1" t="s">
        <v>471</v>
      </c>
      <c r="E100" s="15" t="s">
        <v>720</v>
      </c>
      <c r="F100" s="20" t="s">
        <v>1373</v>
      </c>
      <c r="G100" s="9" t="s">
        <v>1372</v>
      </c>
      <c r="H100" s="9" t="s">
        <v>1169</v>
      </c>
      <c r="I100" s="9" t="s">
        <v>2125</v>
      </c>
      <c r="J100" s="10">
        <v>43500</v>
      </c>
      <c r="K100" s="10">
        <v>43500</v>
      </c>
      <c r="L100" s="9" t="s">
        <v>2843</v>
      </c>
      <c r="M100" s="33" t="str">
        <f>IF(ISNA(VLOOKUP(D100,'[3]Table APOQUA files'!$B:$B,1,FALSE)),"NO","YES")</f>
        <v>YES</v>
      </c>
      <c r="N100" s="33" t="str">
        <f>IF(ISNA(VLOOKUP(D100,'Base PFR table'!K:K,1,FALSE)),"NO","YES")</f>
        <v>NO</v>
      </c>
      <c r="O100" s="35" t="s">
        <v>2858</v>
      </c>
      <c r="P100" s="35" t="s">
        <v>2858</v>
      </c>
    </row>
    <row r="101" spans="1:16" ht="15" customHeight="1" x14ac:dyDescent="0.25">
      <c r="A101" s="3" t="s">
        <v>2087</v>
      </c>
      <c r="D101" s="1" t="s">
        <v>472</v>
      </c>
      <c r="E101" s="15" t="s">
        <v>721</v>
      </c>
      <c r="F101" s="20" t="s">
        <v>1374</v>
      </c>
      <c r="G101" s="9" t="s">
        <v>1372</v>
      </c>
      <c r="H101" s="9" t="s">
        <v>1169</v>
      </c>
      <c r="I101" s="9" t="s">
        <v>2125</v>
      </c>
      <c r="J101" s="10">
        <v>43500</v>
      </c>
      <c r="K101" s="10">
        <v>43500</v>
      </c>
      <c r="L101" s="9" t="s">
        <v>2843</v>
      </c>
      <c r="M101" s="33" t="str">
        <f>IF(ISNA(VLOOKUP(D101,'[3]Table APOQUA files'!$B:$B,1,FALSE)),"NO","YES")</f>
        <v>YES</v>
      </c>
      <c r="N101" s="33" t="str">
        <f>IF(ISNA(VLOOKUP(D101,'Base PFR table'!K:K,1,FALSE)),"NO","YES")</f>
        <v>NO</v>
      </c>
      <c r="O101" s="35" t="s">
        <v>2858</v>
      </c>
      <c r="P101" s="35" t="s">
        <v>2858</v>
      </c>
    </row>
    <row r="102" spans="1:16" ht="15" customHeight="1" x14ac:dyDescent="0.25">
      <c r="A102" s="3" t="s">
        <v>2087</v>
      </c>
      <c r="D102" s="1" t="s">
        <v>469</v>
      </c>
      <c r="E102" s="15" t="s">
        <v>722</v>
      </c>
      <c r="F102" s="20" t="s">
        <v>1375</v>
      </c>
      <c r="G102" s="9" t="s">
        <v>1292</v>
      </c>
      <c r="H102" s="9" t="s">
        <v>1176</v>
      </c>
      <c r="I102" s="9" t="s">
        <v>2129</v>
      </c>
      <c r="J102" s="10">
        <v>43492</v>
      </c>
      <c r="K102" s="10">
        <v>43791</v>
      </c>
      <c r="L102" s="9" t="s">
        <v>2843</v>
      </c>
      <c r="M102" s="33" t="str">
        <f>IF(ISNA(VLOOKUP(D102,'[3]Table APOQUA files'!$B:$B,1,FALSE)),"NO","YES")</f>
        <v>YES</v>
      </c>
      <c r="N102" s="33" t="str">
        <f>IF(ISNA(VLOOKUP(D102,'Base PFR table'!K:K,1,FALSE)),"NO","YES")</f>
        <v>NO</v>
      </c>
      <c r="O102" s="35" t="s">
        <v>2858</v>
      </c>
      <c r="P102" s="35" t="s">
        <v>2858</v>
      </c>
    </row>
    <row r="103" spans="1:16" ht="15" customHeight="1" x14ac:dyDescent="0.25">
      <c r="A103" s="3" t="s">
        <v>2087</v>
      </c>
      <c r="D103" s="1" t="s">
        <v>417</v>
      </c>
      <c r="E103" s="15" t="s">
        <v>723</v>
      </c>
      <c r="F103" s="21" t="s">
        <v>1376</v>
      </c>
      <c r="G103" s="9" t="s">
        <v>1228</v>
      </c>
      <c r="H103" s="9" t="s">
        <v>612</v>
      </c>
      <c r="I103" s="9" t="s">
        <v>2127</v>
      </c>
      <c r="J103" s="10">
        <v>43446</v>
      </c>
      <c r="K103" s="10">
        <v>45476</v>
      </c>
      <c r="L103" s="9" t="s">
        <v>1487</v>
      </c>
      <c r="M103" s="33" t="str">
        <f>IF(ISNA(VLOOKUP(D103,'[3]Table APOQUA files'!$B:$B,1,FALSE)),"NO","YES")</f>
        <v>YES</v>
      </c>
      <c r="N103" s="33" t="str">
        <f>IF(ISNA(VLOOKUP(D103,'Base PFR table'!K:K,1,FALSE)),"NO","YES")</f>
        <v>NO</v>
      </c>
      <c r="O103" s="35" t="s">
        <v>2858</v>
      </c>
      <c r="P103" s="35" t="s">
        <v>2858</v>
      </c>
    </row>
    <row r="104" spans="1:16" ht="15" customHeight="1" x14ac:dyDescent="0.25">
      <c r="A104" s="3" t="s">
        <v>2087</v>
      </c>
      <c r="D104" s="1" t="s">
        <v>475</v>
      </c>
      <c r="E104" s="15" t="s">
        <v>724</v>
      </c>
      <c r="F104" s="20" t="s">
        <v>1377</v>
      </c>
      <c r="G104" s="9" t="s">
        <v>1340</v>
      </c>
      <c r="H104" s="9" t="s">
        <v>1171</v>
      </c>
      <c r="I104" s="9">
        <v>0</v>
      </c>
      <c r="J104" s="10">
        <v>43580</v>
      </c>
      <c r="K104" s="10">
        <v>43570</v>
      </c>
      <c r="L104" s="9" t="s">
        <v>2843</v>
      </c>
      <c r="M104" s="33" t="str">
        <f>IF(ISNA(VLOOKUP(D104,'[3]Table APOQUA files'!$B:$B,1,FALSE)),"NO","YES")</f>
        <v>YES</v>
      </c>
      <c r="N104" s="33" t="str">
        <f>IF(ISNA(VLOOKUP(D104,'Base PFR table'!K:K,1,FALSE)),"NO","YES")</f>
        <v>NO</v>
      </c>
      <c r="O104" s="35" t="s">
        <v>2858</v>
      </c>
      <c r="P104" s="35" t="s">
        <v>2858</v>
      </c>
    </row>
    <row r="105" spans="1:16" ht="15" customHeight="1" x14ac:dyDescent="0.25">
      <c r="A105" s="3" t="s">
        <v>2087</v>
      </c>
      <c r="D105" s="1" t="s">
        <v>473</v>
      </c>
      <c r="E105" s="15" t="s">
        <v>725</v>
      </c>
      <c r="F105" s="20" t="s">
        <v>1378</v>
      </c>
      <c r="G105" s="9" t="s">
        <v>1379</v>
      </c>
      <c r="H105" s="9" t="s">
        <v>1172</v>
      </c>
      <c r="I105" s="9" t="s">
        <v>2129</v>
      </c>
      <c r="J105" s="10">
        <v>43528</v>
      </c>
      <c r="K105" s="10">
        <v>43775</v>
      </c>
      <c r="L105" s="9" t="s">
        <v>2843</v>
      </c>
      <c r="M105" s="33" t="str">
        <f>IF(ISNA(VLOOKUP(D105,'[3]Table APOQUA files'!$B:$B,1,FALSE)),"NO","YES")</f>
        <v>YES</v>
      </c>
      <c r="N105" s="33" t="str">
        <f>IF(ISNA(VLOOKUP(D105,'Base PFR table'!K:K,1,FALSE)),"NO","YES")</f>
        <v>NO</v>
      </c>
      <c r="O105" s="35" t="s">
        <v>2858</v>
      </c>
      <c r="P105" s="35" t="s">
        <v>2858</v>
      </c>
    </row>
    <row r="106" spans="1:16" ht="15" customHeight="1" x14ac:dyDescent="0.25">
      <c r="A106" s="3" t="s">
        <v>2087</v>
      </c>
      <c r="D106" s="1" t="s">
        <v>547</v>
      </c>
      <c r="E106" s="15" t="s">
        <v>726</v>
      </c>
      <c r="F106" s="20" t="s">
        <v>1380</v>
      </c>
      <c r="G106" s="9" t="s">
        <v>1255</v>
      </c>
      <c r="H106" s="9" t="s">
        <v>1177</v>
      </c>
      <c r="I106" s="9" t="s">
        <v>2131</v>
      </c>
      <c r="J106" s="10">
        <v>44403</v>
      </c>
      <c r="K106" s="10">
        <v>44747</v>
      </c>
      <c r="L106" s="9" t="s">
        <v>2843</v>
      </c>
      <c r="M106" s="33" t="str">
        <f>IF(ISNA(VLOOKUP(D106,'[3]Table APOQUA files'!$B:$B,1,FALSE)),"NO","YES")</f>
        <v>YES</v>
      </c>
      <c r="N106" s="33" t="str">
        <f>IF(ISNA(VLOOKUP(D106,'Base PFR table'!K:K,1,FALSE)),"NO","YES")</f>
        <v>NO</v>
      </c>
      <c r="O106" s="35" t="s">
        <v>2858</v>
      </c>
      <c r="P106" s="35" t="s">
        <v>2858</v>
      </c>
    </row>
    <row r="107" spans="1:16" ht="15" customHeight="1" x14ac:dyDescent="0.25">
      <c r="A107" s="3" t="s">
        <v>2087</v>
      </c>
      <c r="D107" s="1" t="s">
        <v>2566</v>
      </c>
      <c r="E107" s="15" t="s">
        <v>727</v>
      </c>
      <c r="F107" s="20" t="s">
        <v>1381</v>
      </c>
      <c r="G107" s="9" t="s">
        <v>1379</v>
      </c>
      <c r="H107" s="9" t="s">
        <v>1172</v>
      </c>
      <c r="I107" s="9" t="s">
        <v>2129</v>
      </c>
      <c r="J107" s="10">
        <v>43528</v>
      </c>
      <c r="K107" s="10">
        <v>43570</v>
      </c>
      <c r="L107" s="9" t="s">
        <v>2843</v>
      </c>
      <c r="M107" s="33" t="str">
        <f>IF(ISNA(VLOOKUP(D107,'[3]Table APOQUA files'!$B:$B,1,FALSE)),"NO","YES")</f>
        <v>NO</v>
      </c>
      <c r="N107" s="33" t="str">
        <f>IF(ISNA(VLOOKUP(D107,'Base PFR table'!K:K,1,FALSE)),"NO","YES")</f>
        <v>NO</v>
      </c>
      <c r="O107" s="35" t="s">
        <v>2858</v>
      </c>
      <c r="P107" s="35" t="s">
        <v>2858</v>
      </c>
    </row>
    <row r="108" spans="1:16" ht="15" customHeight="1" x14ac:dyDescent="0.25">
      <c r="A108" s="3" t="s">
        <v>2087</v>
      </c>
      <c r="C108" s="38"/>
      <c r="D108" s="1" t="s">
        <v>476</v>
      </c>
      <c r="E108" s="90" t="s">
        <v>728</v>
      </c>
      <c r="F108" s="20" t="s">
        <v>1382</v>
      </c>
      <c r="G108" s="9" t="s">
        <v>1340</v>
      </c>
      <c r="H108" s="9" t="s">
        <v>1171</v>
      </c>
      <c r="I108" s="9" t="s">
        <v>2122</v>
      </c>
      <c r="J108" s="10">
        <v>43612</v>
      </c>
      <c r="K108" s="10">
        <v>45373</v>
      </c>
      <c r="L108" s="9" t="s">
        <v>1207</v>
      </c>
      <c r="M108" s="33" t="str">
        <f>IF(ISNA(VLOOKUP(D108,'[3]Table APOQUA files'!$B:$B,1,FALSE)),"NO","YES")</f>
        <v>YES</v>
      </c>
      <c r="N108" s="33" t="str">
        <f>IF(ISNA(VLOOKUP(D108,'Base PFR table'!K:K,1,FALSE)),"NO","YES")</f>
        <v>NO</v>
      </c>
      <c r="O108" s="35" t="s">
        <v>2858</v>
      </c>
      <c r="P108" s="35" t="s">
        <v>2858</v>
      </c>
    </row>
    <row r="109" spans="1:16" ht="15" customHeight="1" x14ac:dyDescent="0.25">
      <c r="A109" s="3" t="s">
        <v>2087</v>
      </c>
      <c r="D109" s="1" t="s">
        <v>477</v>
      </c>
      <c r="E109" s="15" t="s">
        <v>729</v>
      </c>
      <c r="F109" s="20" t="s">
        <v>1383</v>
      </c>
      <c r="G109" s="9" t="s">
        <v>1342</v>
      </c>
      <c r="H109" s="9" t="s">
        <v>1170</v>
      </c>
      <c r="I109" s="9" t="s">
        <v>2132</v>
      </c>
      <c r="J109" s="10">
        <v>43619</v>
      </c>
      <c r="K109" s="10">
        <v>43801</v>
      </c>
      <c r="L109" s="9" t="s">
        <v>2843</v>
      </c>
      <c r="M109" s="33" t="str">
        <f>IF(ISNA(VLOOKUP(D109,'[3]Table APOQUA files'!$B:$B,1,FALSE)),"NO","YES")</f>
        <v>YES</v>
      </c>
      <c r="N109" s="33" t="str">
        <f>IF(ISNA(VLOOKUP(D109,'Base PFR table'!K:K,1,FALSE)),"NO","YES")</f>
        <v>NO</v>
      </c>
      <c r="O109" s="35" t="s">
        <v>2858</v>
      </c>
      <c r="P109" s="35" t="s">
        <v>2858</v>
      </c>
    </row>
    <row r="110" spans="1:16" ht="15" customHeight="1" x14ac:dyDescent="0.25">
      <c r="A110" s="3" t="s">
        <v>2087</v>
      </c>
      <c r="C110" s="38"/>
      <c r="D110" s="1" t="s">
        <v>480</v>
      </c>
      <c r="E110" s="15" t="s">
        <v>1972</v>
      </c>
      <c r="F110" s="20" t="s">
        <v>1973</v>
      </c>
      <c r="G110" s="9" t="s">
        <v>1384</v>
      </c>
      <c r="H110" s="9" t="s">
        <v>1178</v>
      </c>
      <c r="I110" s="9" t="s">
        <v>1186</v>
      </c>
      <c r="J110" s="10">
        <v>43628</v>
      </c>
      <c r="K110" s="10">
        <v>45601</v>
      </c>
      <c r="L110" s="9" t="s">
        <v>1209</v>
      </c>
      <c r="M110" s="33" t="str">
        <f>IF(ISNA(VLOOKUP(D110,'[3]Table APOQUA files'!$B:$B,1,FALSE)),"NO","YES")</f>
        <v>YES</v>
      </c>
      <c r="N110" s="33" t="str">
        <f>IF(ISNA(VLOOKUP(D110,'Base PFR table'!K:K,1,FALSE)),"NO","YES")</f>
        <v>YES</v>
      </c>
      <c r="O110" s="35" t="s">
        <v>2858</v>
      </c>
      <c r="P110" s="35" t="s">
        <v>2858</v>
      </c>
    </row>
    <row r="111" spans="1:16" ht="15" customHeight="1" x14ac:dyDescent="0.25">
      <c r="A111" s="3" t="s">
        <v>2087</v>
      </c>
      <c r="D111" s="1" t="s">
        <v>479</v>
      </c>
      <c r="E111" s="15" t="s">
        <v>730</v>
      </c>
      <c r="F111" s="20" t="s">
        <v>1385</v>
      </c>
      <c r="G111" s="9" t="s">
        <v>1294</v>
      </c>
      <c r="H111" s="9" t="s">
        <v>1172</v>
      </c>
      <c r="I111" s="9" t="s">
        <v>2129</v>
      </c>
      <c r="J111" s="10">
        <v>43601</v>
      </c>
      <c r="K111" s="10">
        <v>43601</v>
      </c>
      <c r="L111" s="9" t="s">
        <v>2843</v>
      </c>
      <c r="M111" s="33" t="str">
        <f>IF(ISNA(VLOOKUP(D111,'[3]Table APOQUA files'!$B:$B,1,FALSE)),"NO","YES")</f>
        <v>YES</v>
      </c>
      <c r="N111" s="33" t="str">
        <f>IF(ISNA(VLOOKUP(D111,'Base PFR table'!K:K,1,FALSE)),"NO","YES")</f>
        <v>NO</v>
      </c>
      <c r="O111" s="35" t="s">
        <v>2858</v>
      </c>
      <c r="P111" s="35" t="s">
        <v>2858</v>
      </c>
    </row>
    <row r="112" spans="1:16" ht="15" customHeight="1" x14ac:dyDescent="0.25">
      <c r="A112" s="3" t="s">
        <v>2087</v>
      </c>
      <c r="D112" s="1" t="s">
        <v>499</v>
      </c>
      <c r="E112" s="15" t="s">
        <v>644</v>
      </c>
      <c r="F112" s="20" t="s">
        <v>1386</v>
      </c>
      <c r="G112" s="9" t="s">
        <v>1240</v>
      </c>
      <c r="H112" s="9" t="s">
        <v>1173</v>
      </c>
      <c r="I112" s="9" t="s">
        <v>1186</v>
      </c>
      <c r="J112" s="10">
        <v>43636</v>
      </c>
      <c r="K112" s="10">
        <v>43630</v>
      </c>
      <c r="L112" s="9" t="s">
        <v>2843</v>
      </c>
      <c r="M112" s="33" t="str">
        <f>IF(ISNA(VLOOKUP(D112,'[3]Table APOQUA files'!$B:$B,1,FALSE)),"NO","YES")</f>
        <v>YES</v>
      </c>
      <c r="N112" s="33" t="str">
        <f>IF(ISNA(VLOOKUP(D112,'Base PFR table'!K:K,1,FALSE)),"NO","YES")</f>
        <v>NO</v>
      </c>
      <c r="O112" s="35" t="s">
        <v>2858</v>
      </c>
      <c r="P112" s="35" t="s">
        <v>2858</v>
      </c>
    </row>
    <row r="113" spans="1:16" ht="15" customHeight="1" x14ac:dyDescent="0.25">
      <c r="A113" s="3" t="s">
        <v>2087</v>
      </c>
      <c r="D113" s="1" t="s">
        <v>478</v>
      </c>
      <c r="E113" s="15" t="s">
        <v>731</v>
      </c>
      <c r="F113" s="20" t="s">
        <v>1387</v>
      </c>
      <c r="G113" s="9" t="s">
        <v>1294</v>
      </c>
      <c r="H113" s="9" t="s">
        <v>1172</v>
      </c>
      <c r="I113" s="9" t="s">
        <v>2129</v>
      </c>
      <c r="J113" s="10">
        <v>43619</v>
      </c>
      <c r="K113" s="10">
        <v>43612</v>
      </c>
      <c r="L113" s="9" t="s">
        <v>2843</v>
      </c>
      <c r="M113" s="33" t="str">
        <f>IF(ISNA(VLOOKUP(D113,'[3]Table APOQUA files'!$B:$B,1,FALSE)),"NO","YES")</f>
        <v>YES</v>
      </c>
      <c r="N113" s="33" t="str">
        <f>IF(ISNA(VLOOKUP(D113,'Base PFR table'!K:K,1,FALSE)),"NO","YES")</f>
        <v>NO</v>
      </c>
      <c r="O113" s="35" t="s">
        <v>2858</v>
      </c>
      <c r="P113" s="35" t="s">
        <v>2858</v>
      </c>
    </row>
    <row r="114" spans="1:16" ht="15" customHeight="1" x14ac:dyDescent="0.25">
      <c r="A114" s="3" t="s">
        <v>2087</v>
      </c>
      <c r="D114" s="1" t="s">
        <v>500</v>
      </c>
      <c r="E114" s="15" t="s">
        <v>732</v>
      </c>
      <c r="F114" s="20" t="s">
        <v>1388</v>
      </c>
      <c r="G114" s="9" t="s">
        <v>1389</v>
      </c>
      <c r="H114" s="9" t="s">
        <v>593</v>
      </c>
      <c r="I114" s="9" t="s">
        <v>2133</v>
      </c>
      <c r="J114" s="10">
        <v>43879</v>
      </c>
      <c r="K114" s="10">
        <v>43879</v>
      </c>
      <c r="L114" s="9" t="s">
        <v>2843</v>
      </c>
      <c r="M114" s="33" t="str">
        <f>IF(ISNA(VLOOKUP(D114,'[3]Table APOQUA files'!$B:$B,1,FALSE)),"NO","YES")</f>
        <v>YES</v>
      </c>
      <c r="N114" s="33" t="str">
        <f>IF(ISNA(VLOOKUP(D114,'Base PFR table'!K:K,1,FALSE)),"NO","YES")</f>
        <v>NO</v>
      </c>
      <c r="O114" s="35" t="s">
        <v>2858</v>
      </c>
      <c r="P114" s="35" t="s">
        <v>2858</v>
      </c>
    </row>
    <row r="115" spans="1:16" ht="15" customHeight="1" x14ac:dyDescent="0.25">
      <c r="A115" s="3" t="s">
        <v>2087</v>
      </c>
      <c r="D115" s="1" t="s">
        <v>484</v>
      </c>
      <c r="E115" s="15" t="s">
        <v>733</v>
      </c>
      <c r="F115" s="20" t="s">
        <v>1390</v>
      </c>
      <c r="G115" s="9" t="s">
        <v>1292</v>
      </c>
      <c r="H115" s="9" t="s">
        <v>1176</v>
      </c>
      <c r="I115" s="9" t="s">
        <v>2130</v>
      </c>
      <c r="J115" s="10">
        <v>43733</v>
      </c>
      <c r="K115" s="10">
        <v>45389</v>
      </c>
      <c r="L115" s="9" t="s">
        <v>1209</v>
      </c>
      <c r="M115" s="33" t="str">
        <f>IF(ISNA(VLOOKUP(D115,'[3]Table APOQUA files'!$B:$B,1,FALSE)),"NO","YES")</f>
        <v>YES</v>
      </c>
      <c r="N115" s="33" t="str">
        <f>IF(ISNA(VLOOKUP(D115,'Base PFR table'!K:K,1,FALSE)),"NO","YES")</f>
        <v>NO</v>
      </c>
      <c r="O115" s="35" t="s">
        <v>2858</v>
      </c>
      <c r="P115" s="35" t="s">
        <v>2858</v>
      </c>
    </row>
    <row r="116" spans="1:16" ht="15" customHeight="1" x14ac:dyDescent="0.25">
      <c r="A116" s="3" t="s">
        <v>2087</v>
      </c>
      <c r="D116" s="1" t="s">
        <v>498</v>
      </c>
      <c r="E116" s="15" t="s">
        <v>734</v>
      </c>
      <c r="F116" s="20" t="s">
        <v>1391</v>
      </c>
      <c r="G116" s="9" t="s">
        <v>1392</v>
      </c>
      <c r="H116" s="9" t="s">
        <v>1173</v>
      </c>
      <c r="I116" s="9" t="s">
        <v>1186</v>
      </c>
      <c r="J116" s="10">
        <v>43847</v>
      </c>
      <c r="K116" s="10">
        <v>43847</v>
      </c>
      <c r="L116" s="9" t="s">
        <v>2843</v>
      </c>
      <c r="M116" s="33" t="str">
        <f>IF(ISNA(VLOOKUP(D116,'[3]Table APOQUA files'!$B:$B,1,FALSE)),"NO","YES")</f>
        <v>YES</v>
      </c>
      <c r="N116" s="33" t="str">
        <f>IF(ISNA(VLOOKUP(D116,'Base PFR table'!K:K,1,FALSE)),"NO","YES")</f>
        <v>NO</v>
      </c>
      <c r="O116" s="35" t="s">
        <v>2858</v>
      </c>
      <c r="P116" s="35" t="s">
        <v>2858</v>
      </c>
    </row>
    <row r="117" spans="1:16" ht="15" customHeight="1" x14ac:dyDescent="0.25">
      <c r="A117" s="3" t="s">
        <v>2087</v>
      </c>
      <c r="D117" s="60" t="s">
        <v>481</v>
      </c>
      <c r="E117" s="56" t="s">
        <v>735</v>
      </c>
      <c r="F117" s="57" t="s">
        <v>1393</v>
      </c>
      <c r="G117" s="58" t="s">
        <v>1292</v>
      </c>
      <c r="H117" s="58" t="s">
        <v>1176</v>
      </c>
      <c r="I117" s="58" t="s">
        <v>2131</v>
      </c>
      <c r="J117" s="59">
        <v>43662</v>
      </c>
      <c r="K117" s="59">
        <v>43662</v>
      </c>
      <c r="L117" s="58" t="s">
        <v>2645</v>
      </c>
      <c r="M117" s="33" t="str">
        <f>IF(ISNA(VLOOKUP(D117,'[3]Table APOQUA files'!$B:$B,1,FALSE)),"NO","YES")</f>
        <v>YES</v>
      </c>
      <c r="N117" s="33" t="str">
        <f>IF(ISNA(VLOOKUP(D117,'Base PFR table'!K:K,1,FALSE)),"NO","YES")</f>
        <v>NO</v>
      </c>
      <c r="O117" s="3" t="s">
        <v>2857</v>
      </c>
      <c r="P117" s="3" t="s">
        <v>2857</v>
      </c>
    </row>
    <row r="118" spans="1:16" ht="15" customHeight="1" x14ac:dyDescent="0.25">
      <c r="A118" s="3" t="s">
        <v>2087</v>
      </c>
      <c r="D118" s="1" t="s">
        <v>505</v>
      </c>
      <c r="E118" s="15" t="s">
        <v>736</v>
      </c>
      <c r="F118" s="20" t="s">
        <v>1394</v>
      </c>
      <c r="G118" s="9" t="s">
        <v>1233</v>
      </c>
      <c r="H118" s="9" t="s">
        <v>593</v>
      </c>
      <c r="I118" s="9" t="s">
        <v>2122</v>
      </c>
      <c r="J118" s="10">
        <v>43923</v>
      </c>
      <c r="K118" s="10">
        <v>43923</v>
      </c>
      <c r="L118" s="9" t="s">
        <v>2843</v>
      </c>
      <c r="M118" s="33" t="str">
        <f>IF(ISNA(VLOOKUP(D118,'[3]Table APOQUA files'!$B:$B,1,FALSE)),"NO","YES")</f>
        <v>YES</v>
      </c>
      <c r="N118" s="33" t="str">
        <f>IF(ISNA(VLOOKUP(D118,'Base PFR table'!K:K,1,FALSE)),"NO","YES")</f>
        <v>NO</v>
      </c>
      <c r="O118" s="35" t="s">
        <v>2858</v>
      </c>
      <c r="P118" s="35" t="s">
        <v>2858</v>
      </c>
    </row>
    <row r="119" spans="1:16" ht="15" customHeight="1" x14ac:dyDescent="0.25">
      <c r="A119" s="3" t="s">
        <v>2087</v>
      </c>
      <c r="D119" s="1" t="s">
        <v>483</v>
      </c>
      <c r="E119" s="15" t="s">
        <v>737</v>
      </c>
      <c r="F119" s="20" t="s">
        <v>1395</v>
      </c>
      <c r="G119" s="9" t="s">
        <v>1396</v>
      </c>
      <c r="H119" s="9" t="s">
        <v>1169</v>
      </c>
      <c r="I119" s="9" t="s">
        <v>2125</v>
      </c>
      <c r="J119" s="10">
        <v>43735</v>
      </c>
      <c r="K119" s="10">
        <v>45572</v>
      </c>
      <c r="L119" s="9" t="s">
        <v>1209</v>
      </c>
      <c r="M119" s="33" t="str">
        <f>IF(ISNA(VLOOKUP(D119,'[3]Table APOQUA files'!$B:$B,1,FALSE)),"NO","YES")</f>
        <v>YES</v>
      </c>
      <c r="N119" s="33" t="str">
        <f>IF(ISNA(VLOOKUP(D119,'Base PFR table'!K:K,1,FALSE)),"NO","YES")</f>
        <v>NO</v>
      </c>
      <c r="O119" s="35" t="s">
        <v>2858</v>
      </c>
      <c r="P119" s="35" t="s">
        <v>2858</v>
      </c>
    </row>
    <row r="120" spans="1:16" ht="15" customHeight="1" x14ac:dyDescent="0.25">
      <c r="A120" s="3" t="s">
        <v>2087</v>
      </c>
      <c r="D120" s="1" t="s">
        <v>482</v>
      </c>
      <c r="E120" s="15" t="s">
        <v>738</v>
      </c>
      <c r="F120" s="20" t="s">
        <v>1397</v>
      </c>
      <c r="G120" s="9" t="s">
        <v>1398</v>
      </c>
      <c r="H120" s="9" t="s">
        <v>1170</v>
      </c>
      <c r="I120" s="9" t="s">
        <v>2132</v>
      </c>
      <c r="J120" s="10">
        <v>43706</v>
      </c>
      <c r="K120" s="10">
        <v>45603</v>
      </c>
      <c r="L120" s="9" t="s">
        <v>1209</v>
      </c>
      <c r="M120" s="33" t="str">
        <f>IF(ISNA(VLOOKUP(D120,'[3]Table APOQUA files'!$B:$B,1,FALSE)),"NO","YES")</f>
        <v>YES</v>
      </c>
      <c r="N120" s="33" t="str">
        <f>IF(ISNA(VLOOKUP(D120,'Base PFR table'!K:K,1,FALSE)),"NO","YES")</f>
        <v>NO</v>
      </c>
      <c r="O120" s="35" t="s">
        <v>2858</v>
      </c>
      <c r="P120" s="35" t="s">
        <v>2858</v>
      </c>
    </row>
    <row r="121" spans="1:16" ht="15" customHeight="1" x14ac:dyDescent="0.25">
      <c r="A121" s="3" t="s">
        <v>2087</v>
      </c>
      <c r="D121" s="1" t="s">
        <v>487</v>
      </c>
      <c r="E121" s="15" t="s">
        <v>739</v>
      </c>
      <c r="F121" s="20" t="s">
        <v>1399</v>
      </c>
      <c r="G121" s="9" t="s">
        <v>1290</v>
      </c>
      <c r="H121" s="9" t="s">
        <v>1176</v>
      </c>
      <c r="I121" s="9" t="s">
        <v>2130</v>
      </c>
      <c r="J121" s="10">
        <v>43768</v>
      </c>
      <c r="K121" s="10">
        <v>43768</v>
      </c>
      <c r="L121" s="9" t="s">
        <v>2843</v>
      </c>
      <c r="M121" s="33" t="str">
        <f>IF(ISNA(VLOOKUP(D121,'[3]Table APOQUA files'!$B:$B,1,FALSE)),"NO","YES")</f>
        <v>YES</v>
      </c>
      <c r="N121" s="33" t="str">
        <f>IF(ISNA(VLOOKUP(D121,'Base PFR table'!K:K,1,FALSE)),"NO","YES")</f>
        <v>NO</v>
      </c>
      <c r="O121" s="35" t="s">
        <v>2858</v>
      </c>
      <c r="P121" s="35" t="s">
        <v>2858</v>
      </c>
    </row>
    <row r="122" spans="1:16" ht="15" customHeight="1" x14ac:dyDescent="0.25">
      <c r="A122" s="3" t="s">
        <v>2087</v>
      </c>
      <c r="D122" s="1" t="s">
        <v>491</v>
      </c>
      <c r="E122" s="15" t="s">
        <v>740</v>
      </c>
      <c r="F122" s="20" t="s">
        <v>1400</v>
      </c>
      <c r="G122" s="9" t="s">
        <v>1285</v>
      </c>
      <c r="H122" s="9" t="s">
        <v>1176</v>
      </c>
      <c r="I122" s="9" t="s">
        <v>2130</v>
      </c>
      <c r="J122" s="10">
        <v>43791</v>
      </c>
      <c r="K122" s="10">
        <v>43789</v>
      </c>
      <c r="L122" s="9" t="s">
        <v>2843</v>
      </c>
      <c r="M122" s="33" t="str">
        <f>IF(ISNA(VLOOKUP(D122,'[3]Table APOQUA files'!$B:$B,1,FALSE)),"NO","YES")</f>
        <v>YES</v>
      </c>
      <c r="N122" s="33" t="str">
        <f>IF(ISNA(VLOOKUP(D122,'Base PFR table'!K:K,1,FALSE)),"NO","YES")</f>
        <v>NO</v>
      </c>
      <c r="O122" s="35" t="s">
        <v>2858</v>
      </c>
      <c r="P122" s="35" t="s">
        <v>2858</v>
      </c>
    </row>
    <row r="123" spans="1:16" ht="15" customHeight="1" x14ac:dyDescent="0.25">
      <c r="A123" s="3" t="s">
        <v>2087</v>
      </c>
      <c r="D123" s="1" t="s">
        <v>545</v>
      </c>
      <c r="E123" s="15" t="s">
        <v>741</v>
      </c>
      <c r="F123" s="20" t="s">
        <v>1401</v>
      </c>
      <c r="G123" s="9" t="s">
        <v>1372</v>
      </c>
      <c r="H123" s="9" t="s">
        <v>1169</v>
      </c>
      <c r="I123" s="9" t="s">
        <v>2125</v>
      </c>
      <c r="J123" s="10">
        <v>44355</v>
      </c>
      <c r="K123" s="10">
        <v>44355</v>
      </c>
      <c r="L123" s="9" t="s">
        <v>2843</v>
      </c>
      <c r="M123" s="33" t="str">
        <f>IF(ISNA(VLOOKUP(D123,'[3]Table APOQUA files'!$B:$B,1,FALSE)),"NO","YES")</f>
        <v>YES</v>
      </c>
      <c r="N123" s="33" t="str">
        <f>IF(ISNA(VLOOKUP(D123,'Base PFR table'!K:K,1,FALSE)),"NO","YES")</f>
        <v>NO</v>
      </c>
      <c r="O123" s="35" t="s">
        <v>2858</v>
      </c>
      <c r="P123" s="35" t="s">
        <v>2858</v>
      </c>
    </row>
    <row r="124" spans="1:16" ht="15" customHeight="1" x14ac:dyDescent="0.25">
      <c r="A124" s="3" t="s">
        <v>2087</v>
      </c>
      <c r="D124" s="1" t="s">
        <v>494</v>
      </c>
      <c r="E124" s="65" t="s">
        <v>742</v>
      </c>
      <c r="F124" s="12" t="s">
        <v>1402</v>
      </c>
      <c r="G124" s="11" t="s">
        <v>1403</v>
      </c>
      <c r="H124" s="9" t="s">
        <v>599</v>
      </c>
      <c r="I124" s="9" t="s">
        <v>2057</v>
      </c>
      <c r="J124" s="13">
        <v>43840</v>
      </c>
      <c r="K124" s="13">
        <v>45015</v>
      </c>
      <c r="L124" s="9" t="s">
        <v>2843</v>
      </c>
      <c r="M124" s="33" t="str">
        <f>IF(ISNA(VLOOKUP(D124,'[3]Table APOQUA files'!$B:$B,1,FALSE)),"NO","YES")</f>
        <v>YES</v>
      </c>
      <c r="N124" s="33" t="str">
        <f>IF(ISNA(VLOOKUP(D124,'Base PFR table'!K:K,1,FALSE)),"NO","YES")</f>
        <v>NO</v>
      </c>
      <c r="O124" s="35" t="s">
        <v>2858</v>
      </c>
      <c r="P124" s="35" t="s">
        <v>2858</v>
      </c>
    </row>
    <row r="125" spans="1:16" ht="15" customHeight="1" x14ac:dyDescent="0.25">
      <c r="A125" s="3" t="s">
        <v>2087</v>
      </c>
      <c r="D125" s="1" t="s">
        <v>512</v>
      </c>
      <c r="E125" s="15" t="s">
        <v>743</v>
      </c>
      <c r="F125" s="20" t="s">
        <v>1404</v>
      </c>
      <c r="G125" s="9" t="s">
        <v>1233</v>
      </c>
      <c r="H125" s="9" t="s">
        <v>593</v>
      </c>
      <c r="I125" s="9" t="s">
        <v>2122</v>
      </c>
      <c r="J125" s="10">
        <v>44144</v>
      </c>
      <c r="K125" s="10">
        <v>44144</v>
      </c>
      <c r="L125" s="9" t="s">
        <v>2843</v>
      </c>
      <c r="M125" s="33" t="str">
        <f>IF(ISNA(VLOOKUP(D125,'[3]Table APOQUA files'!$B:$B,1,FALSE)),"NO","YES")</f>
        <v>YES</v>
      </c>
      <c r="N125" s="33" t="str">
        <f>IF(ISNA(VLOOKUP(D125,'Base PFR table'!K:K,1,FALSE)),"NO","YES")</f>
        <v>NO</v>
      </c>
      <c r="O125" s="35" t="s">
        <v>2858</v>
      </c>
      <c r="P125" s="35" t="s">
        <v>2858</v>
      </c>
    </row>
    <row r="126" spans="1:16" s="18" customFormat="1" ht="15" customHeight="1" x14ac:dyDescent="0.25">
      <c r="A126" s="3" t="s">
        <v>2087</v>
      </c>
      <c r="B126" s="3"/>
      <c r="C126" s="35"/>
      <c r="D126" s="14" t="s">
        <v>486</v>
      </c>
      <c r="E126" s="15" t="s">
        <v>744</v>
      </c>
      <c r="F126" s="22" t="s">
        <v>1405</v>
      </c>
      <c r="G126" s="16" t="s">
        <v>1406</v>
      </c>
      <c r="H126" s="16" t="s">
        <v>608</v>
      </c>
      <c r="I126" s="16" t="s">
        <v>2124</v>
      </c>
      <c r="J126" s="17">
        <v>43766</v>
      </c>
      <c r="K126" s="17" t="s">
        <v>1407</v>
      </c>
      <c r="L126" s="17" t="s">
        <v>1209</v>
      </c>
      <c r="M126" s="55" t="str">
        <f>IF(ISNA(VLOOKUP(D126,'[3]Table APOQUA files'!$B:$B,1,FALSE)),"NO","YES")</f>
        <v>YES</v>
      </c>
      <c r="N126" s="55" t="str">
        <f>IF(ISNA(VLOOKUP(D126,'Base PFR table'!K:K,1,FALSE)),"NO","YES")</f>
        <v>NO</v>
      </c>
      <c r="O126" s="35" t="s">
        <v>2858</v>
      </c>
      <c r="P126" s="35" t="s">
        <v>2858</v>
      </c>
    </row>
    <row r="127" spans="1:16" s="18" customFormat="1" ht="15" customHeight="1" x14ac:dyDescent="0.25">
      <c r="A127" s="3" t="s">
        <v>2087</v>
      </c>
      <c r="B127" s="3"/>
      <c r="C127" s="35"/>
      <c r="D127" s="14" t="s">
        <v>515</v>
      </c>
      <c r="E127" s="15" t="s">
        <v>745</v>
      </c>
      <c r="F127" s="22" t="s">
        <v>1408</v>
      </c>
      <c r="G127" s="16" t="s">
        <v>1372</v>
      </c>
      <c r="H127" s="16" t="s">
        <v>1169</v>
      </c>
      <c r="I127" s="16" t="s">
        <v>2125</v>
      </c>
      <c r="J127" s="17">
        <v>44239</v>
      </c>
      <c r="K127" s="17">
        <v>44239</v>
      </c>
      <c r="L127" s="16" t="s">
        <v>2843</v>
      </c>
      <c r="M127" s="55" t="str">
        <f>IF(ISNA(VLOOKUP(D127,'[3]Table APOQUA files'!$B:$B,1,FALSE)),"NO","YES")</f>
        <v>YES</v>
      </c>
      <c r="N127" s="55" t="str">
        <f>IF(ISNA(VLOOKUP(D127,'Base PFR table'!K:K,1,FALSE)),"NO","YES")</f>
        <v>NO</v>
      </c>
      <c r="O127" s="35" t="s">
        <v>2858</v>
      </c>
      <c r="P127" s="35" t="s">
        <v>2858</v>
      </c>
    </row>
    <row r="128" spans="1:16" s="18" customFormat="1" ht="15" customHeight="1" x14ac:dyDescent="0.25">
      <c r="A128" s="3" t="s">
        <v>2087</v>
      </c>
      <c r="B128" s="3"/>
      <c r="C128" s="35"/>
      <c r="D128" s="14" t="s">
        <v>489</v>
      </c>
      <c r="E128" s="15" t="s">
        <v>746</v>
      </c>
      <c r="F128" s="22" t="s">
        <v>1409</v>
      </c>
      <c r="G128" s="16" t="s">
        <v>1406</v>
      </c>
      <c r="H128" s="16" t="s">
        <v>608</v>
      </c>
      <c r="I128" s="16" t="s">
        <v>2124</v>
      </c>
      <c r="J128" s="17">
        <v>43767</v>
      </c>
      <c r="K128" s="17" t="s">
        <v>1407</v>
      </c>
      <c r="L128" s="17" t="s">
        <v>1209</v>
      </c>
      <c r="M128" s="55" t="str">
        <f>IF(ISNA(VLOOKUP(D128,'[3]Table APOQUA files'!$B:$B,1,FALSE)),"NO","YES")</f>
        <v>YES</v>
      </c>
      <c r="N128" s="55" t="str">
        <f>IF(ISNA(VLOOKUP(D128,'Base PFR table'!K:K,1,FALSE)),"NO","YES")</f>
        <v>NO</v>
      </c>
      <c r="O128" s="35" t="s">
        <v>2858</v>
      </c>
      <c r="P128" s="35" t="s">
        <v>2858</v>
      </c>
    </row>
    <row r="129" spans="1:16" ht="15" customHeight="1" x14ac:dyDescent="0.25">
      <c r="A129" s="3" t="s">
        <v>2087</v>
      </c>
      <c r="D129" s="1" t="s">
        <v>490</v>
      </c>
      <c r="E129" s="15" t="s">
        <v>747</v>
      </c>
      <c r="F129" s="20" t="s">
        <v>1410</v>
      </c>
      <c r="G129" s="9" t="s">
        <v>1411</v>
      </c>
      <c r="H129" s="9" t="s">
        <v>608</v>
      </c>
      <c r="I129" s="9" t="s">
        <v>2123</v>
      </c>
      <c r="J129" s="10">
        <v>43788</v>
      </c>
      <c r="K129" s="10">
        <v>43775</v>
      </c>
      <c r="L129" s="9" t="s">
        <v>2843</v>
      </c>
      <c r="M129" s="33" t="str">
        <f>IF(ISNA(VLOOKUP(D129,'[3]Table APOQUA files'!$B:$B,1,FALSE)),"NO","YES")</f>
        <v>YES</v>
      </c>
      <c r="N129" s="33" t="str">
        <f>IF(ISNA(VLOOKUP(D129,'Base PFR table'!K:K,1,FALSE)),"NO","YES")</f>
        <v>NO</v>
      </c>
      <c r="O129" s="35" t="s">
        <v>2858</v>
      </c>
      <c r="P129" s="35" t="s">
        <v>2858</v>
      </c>
    </row>
    <row r="130" spans="1:16" ht="15" customHeight="1" x14ac:dyDescent="0.25">
      <c r="A130" s="3" t="s">
        <v>2087</v>
      </c>
      <c r="D130" s="1" t="s">
        <v>488</v>
      </c>
      <c r="E130" s="15" t="s">
        <v>748</v>
      </c>
      <c r="F130" s="20" t="s">
        <v>1412</v>
      </c>
      <c r="G130" s="9" t="s">
        <v>1413</v>
      </c>
      <c r="H130" s="9" t="s">
        <v>608</v>
      </c>
      <c r="I130" s="9" t="s">
        <v>2124</v>
      </c>
      <c r="J130" s="10">
        <v>43766</v>
      </c>
      <c r="K130" s="10">
        <v>45037</v>
      </c>
      <c r="L130" s="9" t="s">
        <v>2843</v>
      </c>
      <c r="M130" s="33" t="str">
        <f>IF(ISNA(VLOOKUP(D130,'[3]Table APOQUA files'!$B:$B,1,FALSE)),"NO","YES")</f>
        <v>YES</v>
      </c>
      <c r="N130" s="33" t="str">
        <f>IF(ISNA(VLOOKUP(D130,'Base PFR table'!K:K,1,FALSE)),"NO","YES")</f>
        <v>NO</v>
      </c>
      <c r="O130" s="35" t="s">
        <v>2858</v>
      </c>
      <c r="P130" s="35" t="s">
        <v>2858</v>
      </c>
    </row>
    <row r="131" spans="1:16" ht="15" customHeight="1" x14ac:dyDescent="0.25">
      <c r="A131" s="3" t="s">
        <v>2087</v>
      </c>
      <c r="D131" s="1" t="s">
        <v>492</v>
      </c>
      <c r="E131" s="15" t="s">
        <v>749</v>
      </c>
      <c r="F131" s="20" t="s">
        <v>1414</v>
      </c>
      <c r="G131" s="9" t="s">
        <v>1379</v>
      </c>
      <c r="H131" s="9" t="s">
        <v>1172</v>
      </c>
      <c r="I131" s="9" t="s">
        <v>2130</v>
      </c>
      <c r="J131" s="10">
        <v>43791</v>
      </c>
      <c r="K131" s="10">
        <v>43768</v>
      </c>
      <c r="L131" s="9" t="s">
        <v>2843</v>
      </c>
      <c r="M131" s="33" t="str">
        <f>IF(ISNA(VLOOKUP(D131,'[3]Table APOQUA files'!$B:$B,1,FALSE)),"NO","YES")</f>
        <v>YES</v>
      </c>
      <c r="N131" s="33" t="str">
        <f>IF(ISNA(VLOOKUP(D131,'Base PFR table'!K:K,1,FALSE)),"NO","YES")</f>
        <v>NO</v>
      </c>
      <c r="O131" s="35" t="s">
        <v>2858</v>
      </c>
      <c r="P131" s="35" t="s">
        <v>2858</v>
      </c>
    </row>
    <row r="132" spans="1:16" s="18" customFormat="1" ht="15" customHeight="1" x14ac:dyDescent="0.25">
      <c r="A132" s="3" t="s">
        <v>2087</v>
      </c>
      <c r="B132" s="3"/>
      <c r="C132" s="35"/>
      <c r="D132" s="14" t="s">
        <v>485</v>
      </c>
      <c r="E132" s="15" t="s">
        <v>750</v>
      </c>
      <c r="F132" s="22" t="s">
        <v>1415</v>
      </c>
      <c r="G132" s="16" t="s">
        <v>1416</v>
      </c>
      <c r="H132" s="16" t="s">
        <v>1169</v>
      </c>
      <c r="I132" s="16" t="s">
        <v>2057</v>
      </c>
      <c r="J132" s="17">
        <v>43766</v>
      </c>
      <c r="K132" s="17" t="s">
        <v>1407</v>
      </c>
      <c r="L132" s="17" t="s">
        <v>1209</v>
      </c>
      <c r="M132" s="55" t="str">
        <f>IF(ISNA(VLOOKUP(D132,'[3]Table APOQUA files'!$B:$B,1,FALSE)),"NO","YES")</f>
        <v>YES</v>
      </c>
      <c r="N132" s="55" t="str">
        <f>IF(ISNA(VLOOKUP(D132,'Base PFR table'!K:K,1,FALSE)),"NO","YES")</f>
        <v>NO</v>
      </c>
      <c r="O132" s="35" t="s">
        <v>2858</v>
      </c>
      <c r="P132" s="35" t="s">
        <v>2858</v>
      </c>
    </row>
    <row r="133" spans="1:16" ht="15" customHeight="1" x14ac:dyDescent="0.25">
      <c r="A133" s="3" t="s">
        <v>2087</v>
      </c>
      <c r="D133" s="1" t="s">
        <v>493</v>
      </c>
      <c r="E133" s="15" t="s">
        <v>751</v>
      </c>
      <c r="F133" s="20" t="s">
        <v>1417</v>
      </c>
      <c r="G133" s="9" t="s">
        <v>1418</v>
      </c>
      <c r="H133" s="9" t="s">
        <v>599</v>
      </c>
      <c r="I133" s="9" t="s">
        <v>2126</v>
      </c>
      <c r="J133" s="10">
        <v>43794</v>
      </c>
      <c r="K133" s="10">
        <v>44335</v>
      </c>
      <c r="L133" s="9" t="s">
        <v>2843</v>
      </c>
      <c r="M133" s="33" t="str">
        <f>IF(ISNA(VLOOKUP(D133,'[3]Table APOQUA files'!$B:$B,1,FALSE)),"NO","YES")</f>
        <v>YES</v>
      </c>
      <c r="N133" s="33" t="str">
        <f>IF(ISNA(VLOOKUP(D133,'Base PFR table'!K:K,1,FALSE)),"NO","YES")</f>
        <v>NO</v>
      </c>
      <c r="O133" s="35" t="s">
        <v>2858</v>
      </c>
      <c r="P133" s="35" t="s">
        <v>2858</v>
      </c>
    </row>
    <row r="134" spans="1:16" ht="15" customHeight="1" x14ac:dyDescent="0.25">
      <c r="A134" s="3" t="s">
        <v>2087</v>
      </c>
      <c r="D134" s="1" t="s">
        <v>504</v>
      </c>
      <c r="E134" s="15" t="s">
        <v>752</v>
      </c>
      <c r="F134" s="20" t="s">
        <v>1419</v>
      </c>
      <c r="G134" s="9" t="s">
        <v>1420</v>
      </c>
      <c r="H134" s="9" t="s">
        <v>608</v>
      </c>
      <c r="I134" s="9" t="s">
        <v>2123</v>
      </c>
      <c r="J134" s="10">
        <v>43922</v>
      </c>
      <c r="K134" s="10">
        <v>43922</v>
      </c>
      <c r="L134" s="9" t="s">
        <v>2843</v>
      </c>
      <c r="M134" s="33" t="str">
        <f>IF(ISNA(VLOOKUP(D134,'[3]Table APOQUA files'!$B:$B,1,FALSE)),"NO","YES")</f>
        <v>YES</v>
      </c>
      <c r="N134" s="33" t="str">
        <f>IF(ISNA(VLOOKUP(D134,'Base PFR table'!K:K,1,FALSE)),"NO","YES")</f>
        <v>NO</v>
      </c>
      <c r="O134" s="35" t="s">
        <v>2858</v>
      </c>
      <c r="P134" s="35" t="s">
        <v>2858</v>
      </c>
    </row>
    <row r="135" spans="1:16" ht="15" customHeight="1" x14ac:dyDescent="0.25">
      <c r="A135" s="3" t="s">
        <v>2087</v>
      </c>
      <c r="D135" s="1" t="s">
        <v>2563</v>
      </c>
      <c r="E135" s="15" t="s">
        <v>753</v>
      </c>
      <c r="F135" s="20" t="s">
        <v>1421</v>
      </c>
      <c r="G135" s="9" t="s">
        <v>1422</v>
      </c>
      <c r="H135" s="9" t="s">
        <v>599</v>
      </c>
      <c r="I135" s="9" t="s">
        <v>2122</v>
      </c>
      <c r="J135" s="10">
        <v>44082</v>
      </c>
      <c r="K135" s="10">
        <v>44082</v>
      </c>
      <c r="L135" s="9" t="s">
        <v>2843</v>
      </c>
      <c r="M135" s="33" t="str">
        <f>IF(ISNA(VLOOKUP(D135,'[3]Table APOQUA files'!$B:$B,1,FALSE)),"NO","YES")</f>
        <v>NO</v>
      </c>
      <c r="N135" s="33" t="str">
        <f>IF(ISNA(VLOOKUP(D135,'Base PFR table'!K:K,1,FALSE)),"NO","YES")</f>
        <v>NO</v>
      </c>
      <c r="O135" s="35" t="s">
        <v>2858</v>
      </c>
      <c r="P135" s="35" t="s">
        <v>2858</v>
      </c>
    </row>
    <row r="136" spans="1:16" ht="15" customHeight="1" x14ac:dyDescent="0.25">
      <c r="A136" s="3" t="s">
        <v>2087</v>
      </c>
      <c r="D136" s="1" t="s">
        <v>502</v>
      </c>
      <c r="E136" s="15" t="s">
        <v>754</v>
      </c>
      <c r="F136" s="20" t="s">
        <v>1423</v>
      </c>
      <c r="G136" s="9" t="s">
        <v>1310</v>
      </c>
      <c r="H136" s="9" t="s">
        <v>1169</v>
      </c>
      <c r="I136" s="9" t="s">
        <v>2125</v>
      </c>
      <c r="J136" s="10">
        <v>43892</v>
      </c>
      <c r="K136" s="10">
        <v>43892</v>
      </c>
      <c r="L136" s="9" t="s">
        <v>2843</v>
      </c>
      <c r="M136" s="33" t="str">
        <f>IF(ISNA(VLOOKUP(D136,'[3]Table APOQUA files'!$B:$B,1,FALSE)),"NO","YES")</f>
        <v>YES</v>
      </c>
      <c r="N136" s="33" t="str">
        <f>IF(ISNA(VLOOKUP(D136,'Base PFR table'!K:K,1,FALSE)),"NO","YES")</f>
        <v>NO</v>
      </c>
      <c r="O136" s="35" t="s">
        <v>2858</v>
      </c>
      <c r="P136" s="35" t="s">
        <v>2858</v>
      </c>
    </row>
    <row r="137" spans="1:16" ht="15" customHeight="1" x14ac:dyDescent="0.25">
      <c r="A137" s="3" t="s">
        <v>2087</v>
      </c>
      <c r="D137" s="1" t="s">
        <v>496</v>
      </c>
      <c r="E137" s="15" t="s">
        <v>755</v>
      </c>
      <c r="F137" s="20" t="s">
        <v>1424</v>
      </c>
      <c r="G137" s="9" t="s">
        <v>1425</v>
      </c>
      <c r="H137" s="9" t="s">
        <v>612</v>
      </c>
      <c r="I137" s="9" t="s">
        <v>2127</v>
      </c>
      <c r="J137" s="10">
        <v>43838</v>
      </c>
      <c r="K137" s="10">
        <v>45687</v>
      </c>
      <c r="L137" s="9" t="s">
        <v>1207</v>
      </c>
      <c r="M137" s="33" t="str">
        <f>IF(ISNA(VLOOKUP(D137,'[3]Table APOQUA files'!$B:$B,1,FALSE)),"NO","YES")</f>
        <v>YES</v>
      </c>
      <c r="N137" s="33" t="str">
        <f>IF(ISNA(VLOOKUP(D137,'Base PFR table'!K:K,1,FALSE)),"NO","YES")</f>
        <v>NO</v>
      </c>
      <c r="O137" s="35" t="s">
        <v>2858</v>
      </c>
      <c r="P137" s="35" t="s">
        <v>2858</v>
      </c>
    </row>
    <row r="138" spans="1:16" ht="15" customHeight="1" x14ac:dyDescent="0.25">
      <c r="A138" s="3" t="s">
        <v>2087</v>
      </c>
      <c r="D138" s="1" t="s">
        <v>550</v>
      </c>
      <c r="E138" s="15" t="s">
        <v>756</v>
      </c>
      <c r="F138" s="20" t="s">
        <v>1426</v>
      </c>
      <c r="G138" s="9" t="s">
        <v>1310</v>
      </c>
      <c r="H138" s="9" t="s">
        <v>1169</v>
      </c>
      <c r="I138" s="9" t="s">
        <v>2125</v>
      </c>
      <c r="J138" s="10">
        <v>44448</v>
      </c>
      <c r="K138" s="10">
        <v>44448</v>
      </c>
      <c r="L138" s="9" t="s">
        <v>2843</v>
      </c>
      <c r="M138" s="33" t="str">
        <f>IF(ISNA(VLOOKUP(D138,'[3]Table APOQUA files'!$B:$B,1,FALSE)),"NO","YES")</f>
        <v>YES</v>
      </c>
      <c r="N138" s="33" t="str">
        <f>IF(ISNA(VLOOKUP(D138,'Base PFR table'!K:K,1,FALSE)),"NO","YES")</f>
        <v>NO</v>
      </c>
      <c r="O138" s="35" t="s">
        <v>2858</v>
      </c>
      <c r="P138" s="35" t="s">
        <v>2858</v>
      </c>
    </row>
    <row r="139" spans="1:16" ht="15" customHeight="1" x14ac:dyDescent="0.25">
      <c r="A139" s="3" t="s">
        <v>2087</v>
      </c>
      <c r="D139" s="1" t="s">
        <v>516</v>
      </c>
      <c r="E139" s="15" t="s">
        <v>757</v>
      </c>
      <c r="F139" s="20" t="s">
        <v>1427</v>
      </c>
      <c r="G139" s="9" t="s">
        <v>1285</v>
      </c>
      <c r="H139" s="9" t="s">
        <v>1176</v>
      </c>
      <c r="I139" s="9" t="s">
        <v>2130</v>
      </c>
      <c r="J139" s="10">
        <v>44223</v>
      </c>
      <c r="K139" s="10">
        <v>44223</v>
      </c>
      <c r="L139" s="9" t="s">
        <v>2843</v>
      </c>
      <c r="M139" s="33" t="str">
        <f>IF(ISNA(VLOOKUP(D139,'[3]Table APOQUA files'!$B:$B,1,FALSE)),"NO","YES")</f>
        <v>YES</v>
      </c>
      <c r="N139" s="33" t="str">
        <f>IF(ISNA(VLOOKUP(D139,'Base PFR table'!K:K,1,FALSE)),"NO","YES")</f>
        <v>NO</v>
      </c>
      <c r="O139" s="35" t="s">
        <v>2858</v>
      </c>
      <c r="P139" s="35" t="s">
        <v>2858</v>
      </c>
    </row>
    <row r="140" spans="1:16" ht="15" customHeight="1" x14ac:dyDescent="0.25">
      <c r="A140" s="3" t="s">
        <v>2087</v>
      </c>
      <c r="D140" s="1" t="s">
        <v>508</v>
      </c>
      <c r="E140" s="15" t="s">
        <v>758</v>
      </c>
      <c r="F140" s="20" t="s">
        <v>1428</v>
      </c>
      <c r="G140" s="9" t="s">
        <v>1429</v>
      </c>
      <c r="H140" s="9" t="s">
        <v>1170</v>
      </c>
      <c r="I140" s="9" t="s">
        <v>2132</v>
      </c>
      <c r="J140" s="10">
        <v>44124</v>
      </c>
      <c r="K140" s="10">
        <v>45321</v>
      </c>
      <c r="L140" s="9" t="s">
        <v>1209</v>
      </c>
      <c r="M140" s="33" t="str">
        <f>IF(ISNA(VLOOKUP(D140,'[3]Table APOQUA files'!$B:$B,1,FALSE)),"NO","YES")</f>
        <v>YES</v>
      </c>
      <c r="N140" s="33" t="str">
        <f>IF(ISNA(VLOOKUP(D140,'Base PFR table'!K:K,1,FALSE)),"NO","YES")</f>
        <v>NO</v>
      </c>
      <c r="O140" s="35" t="s">
        <v>2858</v>
      </c>
      <c r="P140" s="35" t="s">
        <v>2858</v>
      </c>
    </row>
    <row r="141" spans="1:16" ht="15" customHeight="1" x14ac:dyDescent="0.25">
      <c r="A141" s="3" t="s">
        <v>2087</v>
      </c>
      <c r="D141" s="1" t="s">
        <v>542</v>
      </c>
      <c r="E141" s="15" t="s">
        <v>759</v>
      </c>
      <c r="F141" s="20" t="s">
        <v>1430</v>
      </c>
      <c r="G141" s="9" t="s">
        <v>1429</v>
      </c>
      <c r="H141" s="9" t="s">
        <v>1170</v>
      </c>
      <c r="I141" s="9" t="s">
        <v>2133</v>
      </c>
      <c r="J141" s="10">
        <v>44356</v>
      </c>
      <c r="K141" s="10">
        <v>45446</v>
      </c>
      <c r="L141" s="9" t="s">
        <v>1207</v>
      </c>
      <c r="M141" s="33" t="str">
        <f>IF(ISNA(VLOOKUP(D141,'[3]Table APOQUA files'!$B:$B,1,FALSE)),"NO","YES")</f>
        <v>YES</v>
      </c>
      <c r="N141" s="33" t="str">
        <f>IF(ISNA(VLOOKUP(D141,'Base PFR table'!K:K,1,FALSE)),"NO","YES")</f>
        <v>NO</v>
      </c>
      <c r="O141" s="35" t="s">
        <v>2858</v>
      </c>
      <c r="P141" s="35" t="s">
        <v>2858</v>
      </c>
    </row>
    <row r="142" spans="1:16" ht="15" customHeight="1" x14ac:dyDescent="0.25">
      <c r="A142" s="3" t="s">
        <v>2087</v>
      </c>
      <c r="D142" s="1" t="s">
        <v>514</v>
      </c>
      <c r="E142" s="15" t="s">
        <v>760</v>
      </c>
      <c r="F142" s="20" t="s">
        <v>1431</v>
      </c>
      <c r="G142" s="9" t="s">
        <v>1274</v>
      </c>
      <c r="H142" s="9" t="s">
        <v>1170</v>
      </c>
      <c r="I142" s="9" t="s">
        <v>2130</v>
      </c>
      <c r="J142" s="10">
        <v>44181</v>
      </c>
      <c r="K142" s="10">
        <v>44181</v>
      </c>
      <c r="L142" s="9" t="s">
        <v>2843</v>
      </c>
      <c r="M142" s="33" t="str">
        <f>IF(ISNA(VLOOKUP(D142,'[3]Table APOQUA files'!$B:$B,1,FALSE)),"NO","YES")</f>
        <v>YES</v>
      </c>
      <c r="N142" s="33" t="str">
        <f>IF(ISNA(VLOOKUP(D142,'Base PFR table'!K:K,1,FALSE)),"NO","YES")</f>
        <v>NO</v>
      </c>
      <c r="O142" s="35" t="s">
        <v>2858</v>
      </c>
      <c r="P142" s="35" t="s">
        <v>2858</v>
      </c>
    </row>
    <row r="143" spans="1:16" ht="15" customHeight="1" x14ac:dyDescent="0.25">
      <c r="A143" s="3" t="s">
        <v>2087</v>
      </c>
      <c r="D143" s="1" t="s">
        <v>503</v>
      </c>
      <c r="E143" s="15" t="s">
        <v>761</v>
      </c>
      <c r="F143" s="20" t="s">
        <v>1432</v>
      </c>
      <c r="G143" s="9" t="s">
        <v>1362</v>
      </c>
      <c r="H143" s="9" t="s">
        <v>1171</v>
      </c>
      <c r="I143" s="9" t="s">
        <v>2124</v>
      </c>
      <c r="J143" s="10">
        <v>43892</v>
      </c>
      <c r="K143" s="10">
        <v>43887</v>
      </c>
      <c r="L143" s="9" t="s">
        <v>2843</v>
      </c>
      <c r="M143" s="33" t="str">
        <f>IF(ISNA(VLOOKUP(D143,'[3]Table APOQUA files'!$B:$B,1,FALSE)),"NO","YES")</f>
        <v>YES</v>
      </c>
      <c r="N143" s="33" t="str">
        <f>IF(ISNA(VLOOKUP(D143,'Base PFR table'!K:K,1,FALSE)),"NO","YES")</f>
        <v>NO</v>
      </c>
      <c r="O143" s="35" t="s">
        <v>2858</v>
      </c>
      <c r="P143" s="35" t="s">
        <v>2858</v>
      </c>
    </row>
    <row r="144" spans="1:16" ht="15" customHeight="1" x14ac:dyDescent="0.25">
      <c r="A144" s="3" t="s">
        <v>2087</v>
      </c>
      <c r="D144" s="1" t="s">
        <v>529</v>
      </c>
      <c r="E144" s="15" t="s">
        <v>762</v>
      </c>
      <c r="F144" s="20" t="s">
        <v>1433</v>
      </c>
      <c r="G144" s="9" t="s">
        <v>1434</v>
      </c>
      <c r="H144" s="9" t="s">
        <v>1174</v>
      </c>
      <c r="I144" s="9">
        <v>0</v>
      </c>
      <c r="J144" s="10">
        <v>44300</v>
      </c>
      <c r="K144" s="10" t="s">
        <v>2845</v>
      </c>
      <c r="L144" s="9" t="s">
        <v>2843</v>
      </c>
      <c r="M144" s="33" t="str">
        <f>IF(ISNA(VLOOKUP(D144,'[3]Table APOQUA files'!$B:$B,1,FALSE)),"NO","YES")</f>
        <v>YES</v>
      </c>
      <c r="N144" s="33" t="str">
        <f>IF(ISNA(VLOOKUP(D144,'Base PFR table'!K:K,1,FALSE)),"NO","YES")</f>
        <v>NO</v>
      </c>
      <c r="O144" s="35" t="s">
        <v>2858</v>
      </c>
      <c r="P144" s="35" t="s">
        <v>2858</v>
      </c>
    </row>
    <row r="145" spans="1:16" ht="15" customHeight="1" x14ac:dyDescent="0.25">
      <c r="A145" s="3" t="s">
        <v>2087</v>
      </c>
      <c r="D145" s="1" t="s">
        <v>525</v>
      </c>
      <c r="E145" s="15" t="s">
        <v>763</v>
      </c>
      <c r="F145" s="20" t="s">
        <v>1435</v>
      </c>
      <c r="G145" s="9" t="s">
        <v>1285</v>
      </c>
      <c r="H145" s="9" t="s">
        <v>1176</v>
      </c>
      <c r="I145" s="9">
        <v>0</v>
      </c>
      <c r="J145" s="10">
        <v>44281</v>
      </c>
      <c r="K145" s="10">
        <v>44890</v>
      </c>
      <c r="L145" s="9" t="s">
        <v>2843</v>
      </c>
      <c r="M145" s="33" t="str">
        <f>IF(ISNA(VLOOKUP(D145,'[3]Table APOQUA files'!$B:$B,1,FALSE)),"NO","YES")</f>
        <v>YES</v>
      </c>
      <c r="N145" s="33" t="str">
        <f>IF(ISNA(VLOOKUP(D145,'Base PFR table'!K:K,1,FALSE)),"NO","YES")</f>
        <v>NO</v>
      </c>
      <c r="O145" s="35" t="s">
        <v>2858</v>
      </c>
      <c r="P145" s="35" t="s">
        <v>2858</v>
      </c>
    </row>
    <row r="146" spans="1:16" ht="15" customHeight="1" x14ac:dyDescent="0.25">
      <c r="A146" s="3" t="s">
        <v>2087</v>
      </c>
      <c r="D146" s="1" t="s">
        <v>506</v>
      </c>
      <c r="E146" s="15" t="s">
        <v>764</v>
      </c>
      <c r="F146" s="20" t="s">
        <v>1436</v>
      </c>
      <c r="G146" s="9" t="s">
        <v>1434</v>
      </c>
      <c r="H146" s="9" t="s">
        <v>1174</v>
      </c>
      <c r="I146" s="9">
        <v>0</v>
      </c>
      <c r="J146" s="10">
        <v>44014</v>
      </c>
      <c r="K146" s="10">
        <v>45624</v>
      </c>
      <c r="L146" s="9" t="s">
        <v>1209</v>
      </c>
      <c r="M146" s="33" t="str">
        <f>IF(ISNA(VLOOKUP(D146,'[3]Table APOQUA files'!$B:$B,1,FALSE)),"NO","YES")</f>
        <v>YES</v>
      </c>
      <c r="N146" s="33" t="str">
        <f>IF(ISNA(VLOOKUP(D146,'Base PFR table'!K:K,1,FALSE)),"NO","YES")</f>
        <v>NO</v>
      </c>
      <c r="O146" s="35" t="s">
        <v>2858</v>
      </c>
      <c r="P146" s="35" t="s">
        <v>2858</v>
      </c>
    </row>
    <row r="147" spans="1:16" ht="15" customHeight="1" x14ac:dyDescent="0.25">
      <c r="A147" s="3" t="s">
        <v>2087</v>
      </c>
      <c r="D147" s="1" t="s">
        <v>497</v>
      </c>
      <c r="E147" s="15" t="s">
        <v>765</v>
      </c>
      <c r="F147" s="20" t="s">
        <v>1437</v>
      </c>
      <c r="G147" s="9" t="s">
        <v>1438</v>
      </c>
      <c r="H147" s="9" t="s">
        <v>599</v>
      </c>
      <c r="I147" s="9" t="s">
        <v>2124</v>
      </c>
      <c r="J147" s="10">
        <v>43844</v>
      </c>
      <c r="K147" s="10">
        <v>43844</v>
      </c>
      <c r="L147" s="9" t="s">
        <v>2843</v>
      </c>
      <c r="M147" s="33" t="str">
        <f>IF(ISNA(VLOOKUP(D147,'[3]Table APOQUA files'!$B:$B,1,FALSE)),"NO","YES")</f>
        <v>YES</v>
      </c>
      <c r="N147" s="33" t="str">
        <f>IF(ISNA(VLOOKUP(D147,'Base PFR table'!K:K,1,FALSE)),"NO","YES")</f>
        <v>NO</v>
      </c>
      <c r="O147" s="35" t="s">
        <v>2858</v>
      </c>
      <c r="P147" s="35" t="s">
        <v>2858</v>
      </c>
    </row>
    <row r="148" spans="1:16" ht="15" customHeight="1" x14ac:dyDescent="0.25">
      <c r="A148" s="3" t="s">
        <v>2087</v>
      </c>
      <c r="D148" s="1" t="s">
        <v>519</v>
      </c>
      <c r="E148" s="15" t="s">
        <v>766</v>
      </c>
      <c r="F148" s="20" t="s">
        <v>1439</v>
      </c>
      <c r="G148" s="9" t="s">
        <v>1440</v>
      </c>
      <c r="H148" s="9" t="s">
        <v>1169</v>
      </c>
      <c r="I148" s="9" t="s">
        <v>2129</v>
      </c>
      <c r="J148" s="10">
        <v>44239</v>
      </c>
      <c r="K148" s="10">
        <v>44239</v>
      </c>
      <c r="L148" s="9" t="s">
        <v>2843</v>
      </c>
      <c r="M148" s="33" t="str">
        <f>IF(ISNA(VLOOKUP(D148,'[3]Table APOQUA files'!$B:$B,1,FALSE)),"NO","YES")</f>
        <v>YES</v>
      </c>
      <c r="N148" s="33" t="str">
        <f>IF(ISNA(VLOOKUP(D148,'Base PFR table'!K:K,1,FALSE)),"NO","YES")</f>
        <v>NO</v>
      </c>
      <c r="O148" s="35" t="s">
        <v>2858</v>
      </c>
      <c r="P148" s="35" t="s">
        <v>2858</v>
      </c>
    </row>
    <row r="149" spans="1:16" ht="15" customHeight="1" x14ac:dyDescent="0.25">
      <c r="A149" s="3" t="s">
        <v>2087</v>
      </c>
      <c r="D149" s="1" t="s">
        <v>2562</v>
      </c>
      <c r="E149" s="15" t="s">
        <v>767</v>
      </c>
      <c r="F149" s="20" t="s">
        <v>1441</v>
      </c>
      <c r="G149" s="9" t="s">
        <v>1442</v>
      </c>
      <c r="H149" s="9" t="s">
        <v>1169</v>
      </c>
      <c r="I149" s="9" t="s">
        <v>2125</v>
      </c>
      <c r="J149" s="10">
        <v>44134</v>
      </c>
      <c r="K149" s="10">
        <v>44134</v>
      </c>
      <c r="L149" s="9" t="s">
        <v>2843</v>
      </c>
      <c r="M149" s="33" t="str">
        <f>IF(ISNA(VLOOKUP(D149,'[3]Table APOQUA files'!$B:$B,1,FALSE)),"NO","YES")</f>
        <v>NO</v>
      </c>
      <c r="N149" s="33" t="str">
        <f>IF(ISNA(VLOOKUP(D149,'Base PFR table'!K:K,1,FALSE)),"NO","YES")</f>
        <v>NO</v>
      </c>
      <c r="O149" s="35" t="s">
        <v>2858</v>
      </c>
      <c r="P149" s="35" t="s">
        <v>2858</v>
      </c>
    </row>
    <row r="150" spans="1:16" ht="15" customHeight="1" x14ac:dyDescent="0.25">
      <c r="A150" s="3" t="s">
        <v>2087</v>
      </c>
      <c r="D150" s="1" t="s">
        <v>501</v>
      </c>
      <c r="E150" s="15" t="s">
        <v>768</v>
      </c>
      <c r="F150" s="20" t="s">
        <v>1443</v>
      </c>
      <c r="G150" s="9" t="s">
        <v>1444</v>
      </c>
      <c r="H150" s="9" t="s">
        <v>1177</v>
      </c>
      <c r="I150" s="9" t="s">
        <v>2124</v>
      </c>
      <c r="J150" s="10">
        <v>43879</v>
      </c>
      <c r="K150" s="10">
        <v>43879</v>
      </c>
      <c r="L150" s="9" t="s">
        <v>2843</v>
      </c>
      <c r="M150" s="33" t="str">
        <f>IF(ISNA(VLOOKUP(D150,'[3]Table APOQUA files'!$B:$B,1,FALSE)),"NO","YES")</f>
        <v>YES</v>
      </c>
      <c r="N150" s="33" t="str">
        <f>IF(ISNA(VLOOKUP(D150,'Base PFR table'!K:K,1,FALSE)),"NO","YES")</f>
        <v>NO</v>
      </c>
      <c r="O150" s="35" t="s">
        <v>2858</v>
      </c>
      <c r="P150" s="35" t="s">
        <v>2858</v>
      </c>
    </row>
    <row r="151" spans="1:16" ht="15" customHeight="1" x14ac:dyDescent="0.25">
      <c r="A151" s="3" t="s">
        <v>2087</v>
      </c>
      <c r="D151" s="1" t="s">
        <v>513</v>
      </c>
      <c r="E151" s="15" t="s">
        <v>769</v>
      </c>
      <c r="F151" s="20" t="s">
        <v>1445</v>
      </c>
      <c r="G151" s="9" t="s">
        <v>1233</v>
      </c>
      <c r="H151" s="9" t="s">
        <v>593</v>
      </c>
      <c r="I151" s="9" t="s">
        <v>2123</v>
      </c>
      <c r="J151" s="10">
        <v>44145</v>
      </c>
      <c r="K151" s="10">
        <v>44145</v>
      </c>
      <c r="L151" s="9" t="s">
        <v>2843</v>
      </c>
      <c r="M151" s="33" t="str">
        <f>IF(ISNA(VLOOKUP(D151,'[3]Table APOQUA files'!$B:$B,1,FALSE)),"NO","YES")</f>
        <v>YES</v>
      </c>
      <c r="N151" s="33" t="str">
        <f>IF(ISNA(VLOOKUP(D151,'Base PFR table'!K:K,1,FALSE)),"NO","YES")</f>
        <v>NO</v>
      </c>
      <c r="O151" s="35" t="s">
        <v>2858</v>
      </c>
      <c r="P151" s="35" t="s">
        <v>2858</v>
      </c>
    </row>
    <row r="152" spans="1:16" ht="15" customHeight="1" x14ac:dyDescent="0.25">
      <c r="A152" s="3" t="s">
        <v>2087</v>
      </c>
      <c r="D152" s="1" t="s">
        <v>526</v>
      </c>
      <c r="E152" s="15" t="s">
        <v>770</v>
      </c>
      <c r="F152" s="20" t="s">
        <v>1446</v>
      </c>
      <c r="G152" s="9" t="s">
        <v>1434</v>
      </c>
      <c r="H152" s="9" t="s">
        <v>1174</v>
      </c>
      <c r="I152" s="9" t="s">
        <v>2133</v>
      </c>
      <c r="J152" s="10">
        <v>44322</v>
      </c>
      <c r="K152" s="10">
        <v>45028</v>
      </c>
      <c r="L152" s="9" t="s">
        <v>2843</v>
      </c>
      <c r="M152" s="33" t="str">
        <f>IF(ISNA(VLOOKUP(D152,'[3]Table APOQUA files'!$B:$B,1,FALSE)),"NO","YES")</f>
        <v>YES</v>
      </c>
      <c r="N152" s="33" t="str">
        <f>IF(ISNA(VLOOKUP(D152,'Base PFR table'!K:K,1,FALSE)),"NO","YES")</f>
        <v>NO</v>
      </c>
      <c r="O152" s="35" t="s">
        <v>2858</v>
      </c>
      <c r="P152" s="35" t="s">
        <v>2858</v>
      </c>
    </row>
    <row r="153" spans="1:16" ht="15" customHeight="1" x14ac:dyDescent="0.25">
      <c r="A153" s="3" t="s">
        <v>2087</v>
      </c>
      <c r="D153" s="1" t="s">
        <v>509</v>
      </c>
      <c r="E153" s="15" t="s">
        <v>771</v>
      </c>
      <c r="F153" s="20" t="s">
        <v>1447</v>
      </c>
      <c r="G153" s="9" t="s">
        <v>1238</v>
      </c>
      <c r="H153" s="9" t="s">
        <v>1172</v>
      </c>
      <c r="I153" s="9" t="s">
        <v>2130</v>
      </c>
      <c r="J153" s="10">
        <v>44126</v>
      </c>
      <c r="K153" s="10">
        <v>44126</v>
      </c>
      <c r="L153" s="9" t="s">
        <v>2843</v>
      </c>
      <c r="M153" s="33" t="str">
        <f>IF(ISNA(VLOOKUP(D153,'[3]Table APOQUA files'!$B:$B,1,FALSE)),"NO","YES")</f>
        <v>YES</v>
      </c>
      <c r="N153" s="33" t="str">
        <f>IF(ISNA(VLOOKUP(D153,'Base PFR table'!K:K,1,FALSE)),"NO","YES")</f>
        <v>NO</v>
      </c>
      <c r="O153" s="35" t="s">
        <v>2858</v>
      </c>
      <c r="P153" s="35" t="s">
        <v>2858</v>
      </c>
    </row>
    <row r="154" spans="1:16" ht="15" customHeight="1" x14ac:dyDescent="0.25">
      <c r="A154" s="3" t="s">
        <v>2087</v>
      </c>
      <c r="C154" s="37"/>
      <c r="D154" s="1" t="s">
        <v>510</v>
      </c>
      <c r="E154" s="15" t="s">
        <v>772</v>
      </c>
      <c r="F154" s="20" t="s">
        <v>1448</v>
      </c>
      <c r="G154" s="9" t="s">
        <v>1449</v>
      </c>
      <c r="H154" s="9" t="s">
        <v>1177</v>
      </c>
      <c r="I154" s="9" t="s">
        <v>2129</v>
      </c>
      <c r="J154" s="10">
        <v>44137</v>
      </c>
      <c r="K154" s="10">
        <v>44137</v>
      </c>
      <c r="L154" s="9" t="s">
        <v>1209</v>
      </c>
      <c r="M154" s="33" t="str">
        <f>IF(ISNA(VLOOKUP(D154,'[3]Table APOQUA files'!$B:$B,1,FALSE)),"NO","YES")</f>
        <v>YES</v>
      </c>
      <c r="N154" s="33" t="str">
        <f>IF(ISNA(VLOOKUP(D154,'Base PFR table'!K:K,1,FALSE)),"NO","YES")</f>
        <v>YES</v>
      </c>
      <c r="O154" s="35" t="s">
        <v>2858</v>
      </c>
      <c r="P154" s="35" t="s">
        <v>2858</v>
      </c>
    </row>
    <row r="155" spans="1:16" ht="15" customHeight="1" x14ac:dyDescent="0.25">
      <c r="A155" s="3" t="s">
        <v>2087</v>
      </c>
      <c r="D155" s="1" t="s">
        <v>524</v>
      </c>
      <c r="E155" s="15" t="s">
        <v>773</v>
      </c>
      <c r="F155" s="20" t="s">
        <v>1450</v>
      </c>
      <c r="G155" s="9" t="s">
        <v>1220</v>
      </c>
      <c r="H155" s="9" t="s">
        <v>1170</v>
      </c>
      <c r="I155" s="9" t="s">
        <v>2133</v>
      </c>
      <c r="J155" s="10">
        <v>44263</v>
      </c>
      <c r="K155" s="10">
        <v>44263</v>
      </c>
      <c r="L155" s="9" t="s">
        <v>2843</v>
      </c>
      <c r="M155" s="33" t="str">
        <f>IF(ISNA(VLOOKUP(D155,'[3]Table APOQUA files'!$B:$B,1,FALSE)),"NO","YES")</f>
        <v>YES</v>
      </c>
      <c r="N155" s="33" t="str">
        <f>IF(ISNA(VLOOKUP(D155,'Base PFR table'!K:K,1,FALSE)),"NO","YES")</f>
        <v>NO</v>
      </c>
      <c r="O155" s="35" t="s">
        <v>2858</v>
      </c>
      <c r="P155" s="35" t="s">
        <v>2858</v>
      </c>
    </row>
    <row r="156" spans="1:16" ht="15" customHeight="1" x14ac:dyDescent="0.25">
      <c r="A156" s="3" t="s">
        <v>2087</v>
      </c>
      <c r="D156" s="1" t="s">
        <v>523</v>
      </c>
      <c r="E156" s="15" t="s">
        <v>774</v>
      </c>
      <c r="F156" s="20" t="s">
        <v>1451</v>
      </c>
      <c r="G156" s="9" t="s">
        <v>1452</v>
      </c>
      <c r="H156" s="9" t="s">
        <v>593</v>
      </c>
      <c r="I156" s="9" t="s">
        <v>2122</v>
      </c>
      <c r="J156" s="10">
        <v>44270</v>
      </c>
      <c r="K156" s="10">
        <v>44270</v>
      </c>
      <c r="L156" s="9" t="s">
        <v>2843</v>
      </c>
      <c r="M156" s="33" t="str">
        <f>IF(ISNA(VLOOKUP(D156,'[3]Table APOQUA files'!$B:$B,1,FALSE)),"NO","YES")</f>
        <v>YES</v>
      </c>
      <c r="N156" s="33" t="str">
        <f>IF(ISNA(VLOOKUP(D156,'Base PFR table'!K:K,1,FALSE)),"NO","YES")</f>
        <v>NO</v>
      </c>
      <c r="O156" s="35" t="s">
        <v>2858</v>
      </c>
      <c r="P156" s="35" t="s">
        <v>2858</v>
      </c>
    </row>
    <row r="157" spans="1:16" ht="15" customHeight="1" x14ac:dyDescent="0.25">
      <c r="A157" s="3" t="s">
        <v>2087</v>
      </c>
      <c r="C157" s="37"/>
      <c r="D157" s="1" t="s">
        <v>549</v>
      </c>
      <c r="E157" s="15" t="s">
        <v>775</v>
      </c>
      <c r="F157" s="20" t="s">
        <v>1453</v>
      </c>
      <c r="G157" s="9" t="s">
        <v>1238</v>
      </c>
      <c r="H157" s="9" t="s">
        <v>1172</v>
      </c>
      <c r="I157" s="9" t="s">
        <v>2129</v>
      </c>
      <c r="J157" s="10">
        <v>44406</v>
      </c>
      <c r="K157" s="10">
        <v>45541</v>
      </c>
      <c r="L157" s="10" t="s">
        <v>1487</v>
      </c>
      <c r="M157" s="33" t="str">
        <f>IF(ISNA(VLOOKUP(D157,'[3]Table APOQUA files'!$B:$B,1,FALSE)),"NO","YES")</f>
        <v>YES</v>
      </c>
      <c r="N157" s="33" t="str">
        <f>IF(ISNA(VLOOKUP(D157,'Base PFR table'!K:K,1,FALSE)),"NO","YES")</f>
        <v>YES</v>
      </c>
      <c r="O157" s="35" t="s">
        <v>2858</v>
      </c>
      <c r="P157" s="35" t="s">
        <v>2858</v>
      </c>
    </row>
    <row r="158" spans="1:16" ht="15" customHeight="1" x14ac:dyDescent="0.25">
      <c r="A158" s="3" t="s">
        <v>2087</v>
      </c>
      <c r="D158" s="1" t="s">
        <v>548</v>
      </c>
      <c r="E158" s="15" t="s">
        <v>776</v>
      </c>
      <c r="F158" s="20" t="s">
        <v>1455</v>
      </c>
      <c r="G158" s="9" t="s">
        <v>1244</v>
      </c>
      <c r="H158" s="9" t="s">
        <v>1175</v>
      </c>
      <c r="I158" s="9" t="s">
        <v>1186</v>
      </c>
      <c r="J158" s="10">
        <v>44403</v>
      </c>
      <c r="K158" s="10">
        <v>44403</v>
      </c>
      <c r="L158" s="9" t="s">
        <v>2843</v>
      </c>
      <c r="M158" s="33" t="str">
        <f>IF(ISNA(VLOOKUP(D158,'[3]Table APOQUA files'!$B:$B,1,FALSE)),"NO","YES")</f>
        <v>YES</v>
      </c>
      <c r="N158" s="33" t="str">
        <f>IF(ISNA(VLOOKUP(D158,'Base PFR table'!K:K,1,FALSE)),"NO","YES")</f>
        <v>NO</v>
      </c>
      <c r="O158" s="35" t="s">
        <v>2858</v>
      </c>
      <c r="P158" s="35" t="s">
        <v>2858</v>
      </c>
    </row>
    <row r="159" spans="1:16" ht="15" customHeight="1" x14ac:dyDescent="0.25">
      <c r="A159" s="3" t="s">
        <v>2087</v>
      </c>
      <c r="D159" s="1" t="s">
        <v>544</v>
      </c>
      <c r="E159" s="15" t="s">
        <v>777</v>
      </c>
      <c r="F159" s="20" t="s">
        <v>1456</v>
      </c>
      <c r="G159" s="9" t="s">
        <v>1244</v>
      </c>
      <c r="H159" s="9" t="s">
        <v>1175</v>
      </c>
      <c r="I159" s="9" t="s">
        <v>1186</v>
      </c>
      <c r="J159" s="10">
        <v>44382</v>
      </c>
      <c r="K159" s="10">
        <v>44382</v>
      </c>
      <c r="L159" s="9" t="s">
        <v>2843</v>
      </c>
      <c r="M159" s="33" t="str">
        <f>IF(ISNA(VLOOKUP(D159,'[3]Table APOQUA files'!$B:$B,1,FALSE)),"NO","YES")</f>
        <v>YES</v>
      </c>
      <c r="N159" s="33" t="str">
        <f>IF(ISNA(VLOOKUP(D159,'Base PFR table'!K:K,1,FALSE)),"NO","YES")</f>
        <v>NO</v>
      </c>
      <c r="O159" s="35" t="s">
        <v>2858</v>
      </c>
      <c r="P159" s="35" t="s">
        <v>2858</v>
      </c>
    </row>
    <row r="160" spans="1:16" ht="15" customHeight="1" x14ac:dyDescent="0.25">
      <c r="A160" s="3" t="s">
        <v>2087</v>
      </c>
      <c r="D160" s="1" t="s">
        <v>531</v>
      </c>
      <c r="E160" s="15" t="s">
        <v>778</v>
      </c>
      <c r="F160" s="20" t="s">
        <v>1457</v>
      </c>
      <c r="G160" s="9" t="s">
        <v>1230</v>
      </c>
      <c r="H160" s="9" t="s">
        <v>612</v>
      </c>
      <c r="I160" s="9" t="s">
        <v>2127</v>
      </c>
      <c r="J160" s="10">
        <v>44335</v>
      </c>
      <c r="K160" s="10">
        <v>44371</v>
      </c>
      <c r="L160" s="9" t="s">
        <v>2843</v>
      </c>
      <c r="M160" s="33" t="str">
        <f>IF(ISNA(VLOOKUP(D160,'[3]Table APOQUA files'!$B:$B,1,FALSE)),"NO","YES")</f>
        <v>YES</v>
      </c>
      <c r="N160" s="33" t="str">
        <f>IF(ISNA(VLOOKUP(D160,'Base PFR table'!K:K,1,FALSE)),"NO","YES")</f>
        <v>NO</v>
      </c>
      <c r="O160" s="35" t="s">
        <v>2858</v>
      </c>
      <c r="P160" s="35" t="s">
        <v>2858</v>
      </c>
    </row>
    <row r="161" spans="1:17" ht="15" customHeight="1" x14ac:dyDescent="0.25">
      <c r="A161" s="3" t="s">
        <v>2087</v>
      </c>
      <c r="D161" s="1" t="s">
        <v>546</v>
      </c>
      <c r="E161" s="15" t="s">
        <v>779</v>
      </c>
      <c r="F161" s="20" t="s">
        <v>2846</v>
      </c>
      <c r="G161" s="9" t="s">
        <v>1459</v>
      </c>
      <c r="H161" s="9" t="s">
        <v>1171</v>
      </c>
      <c r="I161" s="9">
        <v>0</v>
      </c>
      <c r="J161" s="10">
        <v>44390</v>
      </c>
      <c r="K161" s="10">
        <v>44390</v>
      </c>
      <c r="L161" s="9" t="s">
        <v>2843</v>
      </c>
      <c r="M161" s="33" t="str">
        <f>IF(ISNA(VLOOKUP(D161,'[3]Table APOQUA files'!$B:$B,1,FALSE)),"NO","YES")</f>
        <v>YES</v>
      </c>
      <c r="N161" s="33" t="str">
        <f>IF(ISNA(VLOOKUP(D161,'Base PFR table'!K:K,1,FALSE)),"NO","YES")</f>
        <v>NO</v>
      </c>
      <c r="O161" s="35" t="s">
        <v>2858</v>
      </c>
      <c r="P161" s="35" t="s">
        <v>2858</v>
      </c>
    </row>
    <row r="162" spans="1:17" ht="15" customHeight="1" x14ac:dyDescent="0.25">
      <c r="A162" s="3" t="s">
        <v>2087</v>
      </c>
      <c r="D162" s="1" t="s">
        <v>532</v>
      </c>
      <c r="E162" s="15" t="s">
        <v>780</v>
      </c>
      <c r="F162" s="20" t="s">
        <v>1460</v>
      </c>
      <c r="G162" s="9" t="s">
        <v>1461</v>
      </c>
      <c r="H162" s="9" t="s">
        <v>1178</v>
      </c>
      <c r="I162" s="9" t="s">
        <v>1186</v>
      </c>
      <c r="J162" s="10">
        <v>44336</v>
      </c>
      <c r="K162" s="10">
        <v>44336</v>
      </c>
      <c r="L162" s="9" t="s">
        <v>2843</v>
      </c>
      <c r="M162" s="33" t="str">
        <f>IF(ISNA(VLOOKUP(D162,'[3]Table APOQUA files'!$B:$B,1,FALSE)),"NO","YES")</f>
        <v>YES</v>
      </c>
      <c r="N162" s="33" t="str">
        <f>IF(ISNA(VLOOKUP(D162,'Base PFR table'!K:K,1,FALSE)),"NO","YES")</f>
        <v>NO</v>
      </c>
      <c r="O162" s="35" t="s">
        <v>2858</v>
      </c>
      <c r="P162" s="35" t="s">
        <v>2858</v>
      </c>
    </row>
    <row r="163" spans="1:17" ht="15" customHeight="1" x14ac:dyDescent="0.25">
      <c r="A163" s="3" t="s">
        <v>2087</v>
      </c>
      <c r="D163" s="1" t="s">
        <v>540</v>
      </c>
      <c r="E163" s="15" t="s">
        <v>781</v>
      </c>
      <c r="F163" s="20" t="s">
        <v>1462</v>
      </c>
      <c r="G163" s="9" t="s">
        <v>1429</v>
      </c>
      <c r="H163" s="9" t="s">
        <v>1170</v>
      </c>
      <c r="I163" s="9" t="s">
        <v>2133</v>
      </c>
      <c r="J163" s="10">
        <v>44384</v>
      </c>
      <c r="K163" s="10">
        <v>44384</v>
      </c>
      <c r="L163" s="9" t="s">
        <v>2843</v>
      </c>
      <c r="M163" s="33" t="str">
        <f>IF(ISNA(VLOOKUP(D163,'[3]Table APOQUA files'!$B:$B,1,FALSE)),"NO","YES")</f>
        <v>YES</v>
      </c>
      <c r="N163" s="33" t="str">
        <f>IF(ISNA(VLOOKUP(D163,'Base PFR table'!K:K,1,FALSE)),"NO","YES")</f>
        <v>NO</v>
      </c>
      <c r="O163" s="35" t="s">
        <v>2858</v>
      </c>
      <c r="P163" s="35" t="s">
        <v>2858</v>
      </c>
    </row>
    <row r="164" spans="1:17" ht="15" customHeight="1" x14ac:dyDescent="0.25">
      <c r="A164" s="3" t="s">
        <v>2087</v>
      </c>
      <c r="D164" s="1" t="s">
        <v>533</v>
      </c>
      <c r="E164" s="15" t="s">
        <v>782</v>
      </c>
      <c r="F164" s="20" t="s">
        <v>1463</v>
      </c>
      <c r="G164" s="9" t="s">
        <v>1464</v>
      </c>
      <c r="H164" s="9" t="s">
        <v>608</v>
      </c>
      <c r="I164" s="9" t="s">
        <v>2123</v>
      </c>
      <c r="J164" s="10">
        <v>44350</v>
      </c>
      <c r="K164" s="10">
        <v>44350</v>
      </c>
      <c r="L164" s="9" t="s">
        <v>2843</v>
      </c>
      <c r="M164" s="33" t="str">
        <f>IF(ISNA(VLOOKUP(D164,'[3]Table APOQUA files'!$B:$B,1,FALSE)),"NO","YES")</f>
        <v>YES</v>
      </c>
      <c r="N164" s="33" t="str">
        <f>IF(ISNA(VLOOKUP(D164,'Base PFR table'!K:K,1,FALSE)),"NO","YES")</f>
        <v>NO</v>
      </c>
      <c r="O164" s="35" t="s">
        <v>2858</v>
      </c>
      <c r="P164" s="35" t="s">
        <v>2858</v>
      </c>
    </row>
    <row r="165" spans="1:17" ht="15" customHeight="1" x14ac:dyDescent="0.25">
      <c r="A165" s="3" t="s">
        <v>2087</v>
      </c>
      <c r="D165" s="1" t="s">
        <v>530</v>
      </c>
      <c r="E165" s="15" t="s">
        <v>783</v>
      </c>
      <c r="F165" s="20" t="s">
        <v>1465</v>
      </c>
      <c r="G165" s="9" t="s">
        <v>1464</v>
      </c>
      <c r="H165" s="9" t="s">
        <v>608</v>
      </c>
      <c r="I165" s="9" t="s">
        <v>2123</v>
      </c>
      <c r="J165" s="10">
        <v>44335</v>
      </c>
      <c r="K165" s="10">
        <v>44335</v>
      </c>
      <c r="L165" s="9" t="s">
        <v>2843</v>
      </c>
      <c r="M165" s="33" t="str">
        <f>IF(ISNA(VLOOKUP(D165,'[3]Table APOQUA files'!$B:$B,1,FALSE)),"NO","YES")</f>
        <v>YES</v>
      </c>
      <c r="N165" s="33" t="str">
        <f>IF(ISNA(VLOOKUP(D165,'Base PFR table'!K:K,1,FALSE)),"NO","YES")</f>
        <v>NO</v>
      </c>
      <c r="O165" s="35" t="s">
        <v>2858</v>
      </c>
      <c r="P165" s="35" t="s">
        <v>2858</v>
      </c>
    </row>
    <row r="166" spans="1:17" ht="15" customHeight="1" x14ac:dyDescent="0.25">
      <c r="A166" s="3" t="s">
        <v>2087</v>
      </c>
      <c r="D166" s="1" t="s">
        <v>541</v>
      </c>
      <c r="E166" s="15" t="s">
        <v>784</v>
      </c>
      <c r="F166" s="20" t="s">
        <v>1466</v>
      </c>
      <c r="G166" s="9" t="s">
        <v>1452</v>
      </c>
      <c r="H166" s="9" t="s">
        <v>593</v>
      </c>
      <c r="I166" s="9" t="s">
        <v>2126</v>
      </c>
      <c r="J166" s="10">
        <v>44355</v>
      </c>
      <c r="K166" s="10">
        <v>44355</v>
      </c>
      <c r="L166" s="9" t="s">
        <v>2843</v>
      </c>
      <c r="M166" s="33" t="str">
        <f>IF(ISNA(VLOOKUP(D166,'[3]Table APOQUA files'!$B:$B,1,FALSE)),"NO","YES")</f>
        <v>YES</v>
      </c>
      <c r="N166" s="33" t="str">
        <f>IF(ISNA(VLOOKUP(D166,'Base PFR table'!K:K,1,FALSE)),"NO","YES")</f>
        <v>NO</v>
      </c>
      <c r="O166" s="35" t="s">
        <v>2858</v>
      </c>
      <c r="P166" s="35" t="s">
        <v>2858</v>
      </c>
    </row>
    <row r="167" spans="1:17" ht="15" customHeight="1" x14ac:dyDescent="0.25">
      <c r="A167" s="3" t="s">
        <v>2087</v>
      </c>
      <c r="D167" s="1" t="s">
        <v>528</v>
      </c>
      <c r="E167" s="15" t="s">
        <v>785</v>
      </c>
      <c r="F167" s="20" t="s">
        <v>1467</v>
      </c>
      <c r="G167" s="9" t="s">
        <v>1468</v>
      </c>
      <c r="H167" s="9" t="s">
        <v>1173</v>
      </c>
      <c r="I167" s="9" t="s">
        <v>1186</v>
      </c>
      <c r="J167" s="10">
        <v>44329</v>
      </c>
      <c r="K167" s="10">
        <v>44329</v>
      </c>
      <c r="L167" s="9" t="s">
        <v>2843</v>
      </c>
      <c r="M167" s="33" t="str">
        <f>IF(ISNA(VLOOKUP(D167,'[3]Table APOQUA files'!$B:$B,1,FALSE)),"NO","YES")</f>
        <v>YES</v>
      </c>
      <c r="N167" s="33" t="str">
        <f>IF(ISNA(VLOOKUP(D167,'Base PFR table'!K:K,1,FALSE)),"NO","YES")</f>
        <v>NO</v>
      </c>
      <c r="O167" s="35" t="s">
        <v>2858</v>
      </c>
      <c r="P167" s="35" t="s">
        <v>2858</v>
      </c>
    </row>
    <row r="168" spans="1:17" ht="15" customHeight="1" x14ac:dyDescent="0.25">
      <c r="A168" s="3" t="s">
        <v>2087</v>
      </c>
      <c r="D168" s="1" t="s">
        <v>2560</v>
      </c>
      <c r="E168" s="15" t="s">
        <v>786</v>
      </c>
      <c r="F168" s="20" t="s">
        <v>1469</v>
      </c>
      <c r="G168" s="9" t="s">
        <v>1220</v>
      </c>
      <c r="H168" s="9" t="s">
        <v>1170</v>
      </c>
      <c r="I168" s="9" t="s">
        <v>2133</v>
      </c>
      <c r="J168" s="10">
        <v>44232</v>
      </c>
      <c r="K168" s="10">
        <v>44232</v>
      </c>
      <c r="L168" s="9" t="s">
        <v>2843</v>
      </c>
      <c r="M168" s="33" t="str">
        <f>IF(ISNA(VLOOKUP(D168,'[3]Table APOQUA files'!$B:$B,1,FALSE)),"NO","YES")</f>
        <v>NO</v>
      </c>
      <c r="N168" s="33" t="str">
        <f>IF(ISNA(VLOOKUP(D168,'Base PFR table'!K:K,1,FALSE)),"NO","YES")</f>
        <v>NO</v>
      </c>
      <c r="O168" s="35" t="s">
        <v>2858</v>
      </c>
      <c r="P168" s="35" t="s">
        <v>2858</v>
      </c>
    </row>
    <row r="169" spans="1:17" ht="15" customHeight="1" x14ac:dyDescent="0.25">
      <c r="A169" s="3" t="s">
        <v>2087</v>
      </c>
      <c r="D169" s="1" t="s">
        <v>522</v>
      </c>
      <c r="E169" s="15" t="s">
        <v>787</v>
      </c>
      <c r="F169" s="20" t="s">
        <v>1470</v>
      </c>
      <c r="G169" s="9" t="s">
        <v>1413</v>
      </c>
      <c r="H169" s="9" t="s">
        <v>608</v>
      </c>
      <c r="I169" s="9" t="s">
        <v>2122</v>
      </c>
      <c r="J169" s="10">
        <v>44244</v>
      </c>
      <c r="K169" s="10">
        <v>44244</v>
      </c>
      <c r="L169" s="9" t="s">
        <v>2843</v>
      </c>
      <c r="M169" s="33" t="str">
        <f>IF(ISNA(VLOOKUP(D169,'[3]Table APOQUA files'!$B:$B,1,FALSE)),"NO","YES")</f>
        <v>YES</v>
      </c>
      <c r="N169" s="33" t="str">
        <f>IF(ISNA(VLOOKUP(D169,'Base PFR table'!K:K,1,FALSE)),"NO","YES")</f>
        <v>NO</v>
      </c>
      <c r="O169" s="35" t="s">
        <v>2858</v>
      </c>
      <c r="P169" s="35" t="s">
        <v>2858</v>
      </c>
    </row>
    <row r="170" spans="1:17" ht="15" customHeight="1" x14ac:dyDescent="0.25">
      <c r="A170" s="3" t="s">
        <v>2087</v>
      </c>
      <c r="D170" s="1" t="s">
        <v>518</v>
      </c>
      <c r="E170" s="15" t="s">
        <v>788</v>
      </c>
      <c r="F170" s="20" t="s">
        <v>1471</v>
      </c>
      <c r="G170" s="9" t="s">
        <v>1413</v>
      </c>
      <c r="H170" s="9" t="s">
        <v>608</v>
      </c>
      <c r="I170" s="9" t="s">
        <v>2122</v>
      </c>
      <c r="J170" s="10">
        <v>44232</v>
      </c>
      <c r="K170" s="10">
        <v>44232</v>
      </c>
      <c r="L170" s="9" t="s">
        <v>2843</v>
      </c>
      <c r="M170" s="33" t="str">
        <f>IF(ISNA(VLOOKUP(D170,'[3]Table APOQUA files'!$B:$B,1,FALSE)),"NO","YES")</f>
        <v>YES</v>
      </c>
      <c r="N170" s="33" t="str">
        <f>IF(ISNA(VLOOKUP(D170,'Base PFR table'!K:K,1,FALSE)),"NO","YES")</f>
        <v>NO</v>
      </c>
      <c r="O170" s="35" t="s">
        <v>2858</v>
      </c>
      <c r="P170" s="35" t="s">
        <v>2858</v>
      </c>
    </row>
    <row r="171" spans="1:17" ht="15" customHeight="1" x14ac:dyDescent="0.25">
      <c r="A171" s="3" t="s">
        <v>2087</v>
      </c>
      <c r="D171" s="1" t="s">
        <v>520</v>
      </c>
      <c r="E171" s="15" t="s">
        <v>789</v>
      </c>
      <c r="F171" s="20" t="s">
        <v>1472</v>
      </c>
      <c r="G171" s="9" t="s">
        <v>1306</v>
      </c>
      <c r="H171" s="9" t="s">
        <v>1178</v>
      </c>
      <c r="I171" s="9" t="s">
        <v>1186</v>
      </c>
      <c r="J171" s="10">
        <v>44244</v>
      </c>
      <c r="K171" s="10">
        <v>44244</v>
      </c>
      <c r="L171" s="9" t="s">
        <v>2843</v>
      </c>
      <c r="M171" s="33" t="str">
        <f>IF(ISNA(VLOOKUP(D171,'[3]Table APOQUA files'!$B:$B,1,FALSE)),"NO","YES")</f>
        <v>YES</v>
      </c>
      <c r="N171" s="33" t="str">
        <f>IF(ISNA(VLOOKUP(D171,'Base PFR table'!K:K,1,FALSE)),"NO","YES")</f>
        <v>NO</v>
      </c>
      <c r="O171" s="35" t="s">
        <v>2858</v>
      </c>
      <c r="P171" s="35" t="s">
        <v>2858</v>
      </c>
    </row>
    <row r="172" spans="1:17" ht="15" customHeight="1" x14ac:dyDescent="0.25">
      <c r="A172" s="3" t="s">
        <v>2087</v>
      </c>
      <c r="D172" s="1" t="s">
        <v>2561</v>
      </c>
      <c r="E172" s="15" t="s">
        <v>790</v>
      </c>
      <c r="F172" s="20" t="s">
        <v>1473</v>
      </c>
      <c r="G172" s="9" t="s">
        <v>1438</v>
      </c>
      <c r="H172" s="9" t="s">
        <v>599</v>
      </c>
      <c r="I172" s="9" t="s">
        <v>2124</v>
      </c>
      <c r="J172" s="10">
        <v>44244</v>
      </c>
      <c r="K172" s="10">
        <v>44244</v>
      </c>
      <c r="L172" s="9" t="s">
        <v>2843</v>
      </c>
      <c r="M172" s="33" t="str">
        <f>IF(ISNA(VLOOKUP(D172,'[3]Table APOQUA files'!$B:$B,1,FALSE)),"NO","YES")</f>
        <v>NO</v>
      </c>
      <c r="N172" s="33" t="str">
        <f>IF(ISNA(VLOOKUP(D172,'Base PFR table'!K:K,1,FALSE)),"NO","YES")</f>
        <v>NO</v>
      </c>
      <c r="O172" s="35" t="s">
        <v>2858</v>
      </c>
      <c r="P172" s="35" t="s">
        <v>2858</v>
      </c>
    </row>
    <row r="173" spans="1:17" ht="15" customHeight="1" x14ac:dyDescent="0.25">
      <c r="A173" s="3" t="s">
        <v>2087</v>
      </c>
      <c r="D173" s="1" t="s">
        <v>527</v>
      </c>
      <c r="E173" s="15" t="s">
        <v>791</v>
      </c>
      <c r="F173" s="20" t="s">
        <v>1474</v>
      </c>
      <c r="G173" s="9" t="s">
        <v>1211</v>
      </c>
      <c r="H173" s="9" t="s">
        <v>1169</v>
      </c>
      <c r="I173" s="9" t="s">
        <v>2125</v>
      </c>
      <c r="J173" s="10">
        <v>44314</v>
      </c>
      <c r="K173" s="10">
        <v>44314</v>
      </c>
      <c r="L173" s="9" t="s">
        <v>2843</v>
      </c>
      <c r="M173" s="33" t="str">
        <f>IF(ISNA(VLOOKUP(D173,'[3]Table APOQUA files'!$B:$B,1,FALSE)),"NO","YES")</f>
        <v>YES</v>
      </c>
      <c r="N173" s="33" t="str">
        <f>IF(ISNA(VLOOKUP(D173,'Base PFR table'!K:K,1,FALSE)),"NO","YES")</f>
        <v>NO</v>
      </c>
      <c r="O173" s="35" t="s">
        <v>2858</v>
      </c>
      <c r="P173" s="35" t="s">
        <v>2858</v>
      </c>
    </row>
    <row r="174" spans="1:17" ht="15" customHeight="1" x14ac:dyDescent="0.25">
      <c r="A174" s="3" t="s">
        <v>2087</v>
      </c>
      <c r="D174" s="1" t="s">
        <v>543</v>
      </c>
      <c r="E174" s="15" t="s">
        <v>792</v>
      </c>
      <c r="F174" s="20" t="s">
        <v>1475</v>
      </c>
      <c r="G174" s="9" t="s">
        <v>1356</v>
      </c>
      <c r="H174" s="9" t="s">
        <v>599</v>
      </c>
      <c r="I174" s="9" t="s">
        <v>2057</v>
      </c>
      <c r="J174" s="10">
        <v>44370</v>
      </c>
      <c r="K174" s="10">
        <v>44370</v>
      </c>
      <c r="L174" s="9" t="s">
        <v>2843</v>
      </c>
      <c r="M174" s="33" t="str">
        <f>IF(ISNA(VLOOKUP(D174,'[3]Table APOQUA files'!$B:$B,1,FALSE)),"NO","YES")</f>
        <v>YES</v>
      </c>
      <c r="N174" s="33" t="str">
        <f>IF(ISNA(VLOOKUP(D174,'Base PFR table'!K:K,1,FALSE)),"NO","YES")</f>
        <v>NO</v>
      </c>
      <c r="O174" s="35" t="s">
        <v>2858</v>
      </c>
      <c r="P174" s="35" t="s">
        <v>2858</v>
      </c>
    </row>
    <row r="175" spans="1:17" ht="15" customHeight="1" x14ac:dyDescent="0.25">
      <c r="A175" s="3" t="s">
        <v>2087</v>
      </c>
      <c r="D175" s="1" t="s">
        <v>558</v>
      </c>
      <c r="E175" s="15" t="s">
        <v>793</v>
      </c>
      <c r="F175" s="20" t="s">
        <v>1476</v>
      </c>
      <c r="G175" s="9" t="s">
        <v>1477</v>
      </c>
      <c r="H175" s="9" t="s">
        <v>1177</v>
      </c>
      <c r="I175" s="9" t="s">
        <v>2126</v>
      </c>
      <c r="J175" s="10">
        <v>44614</v>
      </c>
      <c r="K175" s="10">
        <v>45308</v>
      </c>
      <c r="L175" s="9" t="s">
        <v>1207</v>
      </c>
      <c r="M175" s="33" t="str">
        <f>IF(ISNA(VLOOKUP(D175,'[3]Table APOQUA files'!$B:$B,1,FALSE)),"NO","YES")</f>
        <v>YES</v>
      </c>
      <c r="N175" s="33" t="str">
        <f>IF(ISNA(VLOOKUP(D175,'Base PFR table'!K:K,1,FALSE)),"NO","YES")</f>
        <v>NO</v>
      </c>
      <c r="O175" s="35" t="s">
        <v>2803</v>
      </c>
      <c r="P175" s="35" t="s">
        <v>2803</v>
      </c>
      <c r="Q175" s="3" t="s">
        <v>2867</v>
      </c>
    </row>
    <row r="176" spans="1:17" ht="15" customHeight="1" x14ac:dyDescent="0.25">
      <c r="A176" s="3" t="s">
        <v>2087</v>
      </c>
      <c r="D176" s="1" t="s">
        <v>551</v>
      </c>
      <c r="E176" s="15" t="s">
        <v>794</v>
      </c>
      <c r="F176" s="20" t="s">
        <v>1478</v>
      </c>
      <c r="G176" s="9" t="s">
        <v>1238</v>
      </c>
      <c r="H176" s="9" t="s">
        <v>1172</v>
      </c>
      <c r="I176" s="9" t="s">
        <v>2129</v>
      </c>
      <c r="J176" s="10">
        <v>44504</v>
      </c>
      <c r="K176" s="10">
        <v>45345</v>
      </c>
      <c r="L176" s="9" t="s">
        <v>1207</v>
      </c>
      <c r="M176" s="33" t="str">
        <f>IF(ISNA(VLOOKUP(D176,'[3]Table APOQUA files'!$B:$B,1,FALSE)),"NO","YES")</f>
        <v>YES</v>
      </c>
      <c r="N176" s="33" t="str">
        <f>IF(ISNA(VLOOKUP(D176,'Base PFR table'!K:K,1,FALSE)),"NO","YES")</f>
        <v>NO</v>
      </c>
      <c r="O176" s="35" t="s">
        <v>2858</v>
      </c>
      <c r="P176" s="35" t="s">
        <v>2858</v>
      </c>
    </row>
    <row r="177" spans="1:18" ht="15" customHeight="1" x14ac:dyDescent="0.25">
      <c r="A177" s="3" t="s">
        <v>2087</v>
      </c>
      <c r="D177" s="1" t="s">
        <v>555</v>
      </c>
      <c r="E177" s="15" t="s">
        <v>795</v>
      </c>
      <c r="F177" s="20" t="s">
        <v>1479</v>
      </c>
      <c r="G177" s="9" t="s">
        <v>1235</v>
      </c>
      <c r="H177" s="9" t="s">
        <v>608</v>
      </c>
      <c r="I177" s="9" t="s">
        <v>2122</v>
      </c>
      <c r="J177" s="10">
        <v>44567</v>
      </c>
      <c r="K177" s="10">
        <v>44871</v>
      </c>
      <c r="L177" s="9" t="s">
        <v>2843</v>
      </c>
      <c r="M177" s="33" t="str">
        <f>IF(ISNA(VLOOKUP(D177,'[3]Table APOQUA files'!$B:$B,1,FALSE)),"NO","YES")</f>
        <v>YES</v>
      </c>
      <c r="N177" s="33" t="str">
        <f>IF(ISNA(VLOOKUP(D177,'Base PFR table'!K:K,1,FALSE)),"NO","YES")</f>
        <v>NO</v>
      </c>
      <c r="O177" s="35" t="s">
        <v>2858</v>
      </c>
      <c r="P177" s="35" t="s">
        <v>2858</v>
      </c>
    </row>
    <row r="178" spans="1:18" ht="15" customHeight="1" x14ac:dyDescent="0.25">
      <c r="A178" s="3" t="s">
        <v>2087</v>
      </c>
      <c r="D178" s="1" t="s">
        <v>552</v>
      </c>
      <c r="E178" s="15" t="s">
        <v>796</v>
      </c>
      <c r="F178" s="20" t="s">
        <v>1480</v>
      </c>
      <c r="G178" s="9" t="s">
        <v>1228</v>
      </c>
      <c r="H178" s="9" t="s">
        <v>612</v>
      </c>
      <c r="I178" s="9" t="s">
        <v>2127</v>
      </c>
      <c r="J178" s="10">
        <v>44487</v>
      </c>
      <c r="K178" s="10">
        <v>44524</v>
      </c>
      <c r="L178" s="9" t="s">
        <v>2843</v>
      </c>
      <c r="M178" s="33" t="str">
        <f>IF(ISNA(VLOOKUP(D178,'[3]Table APOQUA files'!$B:$B,1,FALSE)),"NO","YES")</f>
        <v>YES</v>
      </c>
      <c r="N178" s="33" t="str">
        <f>IF(ISNA(VLOOKUP(D178,'Base PFR table'!K:K,1,FALSE)),"NO","YES")</f>
        <v>NO</v>
      </c>
      <c r="O178" s="35" t="s">
        <v>2858</v>
      </c>
      <c r="P178" s="35" t="s">
        <v>2858</v>
      </c>
    </row>
    <row r="179" spans="1:18" ht="15" customHeight="1" x14ac:dyDescent="0.25">
      <c r="A179" s="3" t="s">
        <v>2087</v>
      </c>
      <c r="D179" s="1" t="s">
        <v>559</v>
      </c>
      <c r="E179" s="15" t="s">
        <v>797</v>
      </c>
      <c r="F179" s="20" t="s">
        <v>1481</v>
      </c>
      <c r="G179" s="9" t="s">
        <v>1434</v>
      </c>
      <c r="H179" s="9" t="s">
        <v>1174</v>
      </c>
      <c r="I179" s="9" t="s">
        <v>2132</v>
      </c>
      <c r="J179" s="10">
        <v>44651</v>
      </c>
      <c r="K179" s="10">
        <v>45586</v>
      </c>
      <c r="L179" s="9" t="s">
        <v>1209</v>
      </c>
      <c r="M179" s="33" t="str">
        <f>IF(ISNA(VLOOKUP(D179,'[3]Table APOQUA files'!$B:$B,1,FALSE)),"NO","YES")</f>
        <v>YES</v>
      </c>
      <c r="N179" s="33" t="str">
        <f>IF(ISNA(VLOOKUP(D179,'Base PFR table'!K:K,1,FALSE)),"NO","YES")</f>
        <v>NO</v>
      </c>
      <c r="O179" s="35" t="s">
        <v>2858</v>
      </c>
      <c r="P179" s="35" t="s">
        <v>2858</v>
      </c>
    </row>
    <row r="180" spans="1:18" ht="15" customHeight="1" x14ac:dyDescent="0.25">
      <c r="A180" s="3" t="s">
        <v>2087</v>
      </c>
      <c r="D180" s="1" t="s">
        <v>557</v>
      </c>
      <c r="E180" s="15" t="s">
        <v>798</v>
      </c>
      <c r="F180" s="20" t="s">
        <v>1482</v>
      </c>
      <c r="G180" s="9" t="s">
        <v>1434</v>
      </c>
      <c r="H180" s="9" t="s">
        <v>1174</v>
      </c>
      <c r="I180" s="9" t="s">
        <v>2129</v>
      </c>
      <c r="J180" s="10">
        <v>44603</v>
      </c>
      <c r="K180" s="10">
        <v>44596</v>
      </c>
      <c r="L180" s="9" t="s">
        <v>2843</v>
      </c>
      <c r="M180" s="33" t="str">
        <f>IF(ISNA(VLOOKUP(D180,'[3]Table APOQUA files'!$B:$B,1,FALSE)),"NO","YES")</f>
        <v>YES</v>
      </c>
      <c r="N180" s="33" t="str">
        <f>IF(ISNA(VLOOKUP(D180,'Base PFR table'!K:K,1,FALSE)),"NO","YES")</f>
        <v>NO</v>
      </c>
      <c r="O180" s="35" t="s">
        <v>2858</v>
      </c>
      <c r="P180" s="35" t="s">
        <v>2858</v>
      </c>
    </row>
    <row r="181" spans="1:18" ht="15" customHeight="1" x14ac:dyDescent="0.25">
      <c r="A181" s="3" t="s">
        <v>2087</v>
      </c>
      <c r="D181" s="1" t="s">
        <v>556</v>
      </c>
      <c r="E181" s="15" t="s">
        <v>799</v>
      </c>
      <c r="F181" s="20" t="s">
        <v>1483</v>
      </c>
      <c r="G181" s="9" t="s">
        <v>1429</v>
      </c>
      <c r="H181" s="9" t="s">
        <v>1170</v>
      </c>
      <c r="I181" s="9" t="s">
        <v>2133</v>
      </c>
      <c r="J181" s="10">
        <v>44586</v>
      </c>
      <c r="K181" s="10">
        <v>44581</v>
      </c>
      <c r="L181" s="9" t="s">
        <v>2843</v>
      </c>
      <c r="M181" s="33" t="str">
        <f>IF(ISNA(VLOOKUP(D181,'[3]Table APOQUA files'!$B:$B,1,FALSE)),"NO","YES")</f>
        <v>YES</v>
      </c>
      <c r="N181" s="33" t="str">
        <f>IF(ISNA(VLOOKUP(D181,'Base PFR table'!K:K,1,FALSE)),"NO","YES")</f>
        <v>NO</v>
      </c>
      <c r="O181" s="35" t="s">
        <v>2858</v>
      </c>
      <c r="P181" s="35" t="s">
        <v>2858</v>
      </c>
    </row>
    <row r="182" spans="1:18" ht="15" customHeight="1" x14ac:dyDescent="0.25">
      <c r="A182" s="3" t="s">
        <v>2087</v>
      </c>
      <c r="D182" s="1" t="s">
        <v>561</v>
      </c>
      <c r="E182" s="15" t="s">
        <v>800</v>
      </c>
      <c r="F182" s="20" t="s">
        <v>1484</v>
      </c>
      <c r="G182" s="9" t="s">
        <v>1222</v>
      </c>
      <c r="H182" s="9" t="s">
        <v>1171</v>
      </c>
      <c r="I182" s="9" t="s">
        <v>2126</v>
      </c>
      <c r="J182" s="10">
        <v>44662</v>
      </c>
      <c r="K182" s="10">
        <v>44662</v>
      </c>
      <c r="L182" s="9" t="s">
        <v>2843</v>
      </c>
      <c r="M182" s="33" t="str">
        <f>IF(ISNA(VLOOKUP(D182,'[3]Table APOQUA files'!$B:$B,1,FALSE)),"NO","YES")</f>
        <v>YES</v>
      </c>
      <c r="N182" s="33" t="str">
        <f>IF(ISNA(VLOOKUP(D182,'Base PFR table'!K:K,1,FALSE)),"NO","YES")</f>
        <v>NO</v>
      </c>
      <c r="O182" s="35" t="s">
        <v>2858</v>
      </c>
      <c r="P182" s="35" t="s">
        <v>2858</v>
      </c>
    </row>
    <row r="183" spans="1:18" ht="15" customHeight="1" x14ac:dyDescent="0.25">
      <c r="A183" s="3" t="s">
        <v>2087</v>
      </c>
      <c r="D183" s="1" t="s">
        <v>570</v>
      </c>
      <c r="E183" s="15" t="s">
        <v>801</v>
      </c>
      <c r="F183" s="20" t="s">
        <v>1485</v>
      </c>
      <c r="G183" s="9" t="s">
        <v>1486</v>
      </c>
      <c r="H183" s="9" t="s">
        <v>1172</v>
      </c>
      <c r="I183" s="9" t="s">
        <v>2129</v>
      </c>
      <c r="J183" s="10">
        <v>44831</v>
      </c>
      <c r="K183" s="10" t="s">
        <v>1454</v>
      </c>
      <c r="L183" s="10" t="s">
        <v>1487</v>
      </c>
      <c r="M183" s="33" t="str">
        <f>IF(ISNA(VLOOKUP(D183,'[3]Table APOQUA files'!$B:$B,1,FALSE)),"NO","YES")</f>
        <v>YES</v>
      </c>
      <c r="N183" s="33" t="str">
        <f>IF(ISNA(VLOOKUP(D183,'Base PFR table'!K:K,1,FALSE)),"NO","YES")</f>
        <v>NO</v>
      </c>
      <c r="O183" s="35" t="s">
        <v>2858</v>
      </c>
      <c r="P183" s="35" t="s">
        <v>2858</v>
      </c>
    </row>
    <row r="184" spans="1:18" s="18" customFormat="1" ht="15" customHeight="1" x14ac:dyDescent="0.25">
      <c r="A184" s="18" t="s">
        <v>2087</v>
      </c>
      <c r="C184" s="67"/>
      <c r="D184" s="14" t="s">
        <v>571</v>
      </c>
      <c r="E184" s="15" t="s">
        <v>802</v>
      </c>
      <c r="F184" s="22" t="s">
        <v>1488</v>
      </c>
      <c r="G184" s="16" t="s">
        <v>1486</v>
      </c>
      <c r="H184" s="16" t="s">
        <v>1172</v>
      </c>
      <c r="I184" s="16" t="s">
        <v>2129</v>
      </c>
      <c r="J184" s="17">
        <v>44802</v>
      </c>
      <c r="K184" s="17">
        <v>45301</v>
      </c>
      <c r="L184" s="16" t="s">
        <v>1487</v>
      </c>
      <c r="M184" s="55" t="str">
        <f>IF(ISNA(VLOOKUP(D184,'[3]Table APOQUA files'!$B:$B,1,FALSE)),"NO","YES")</f>
        <v>YES</v>
      </c>
      <c r="N184" s="55" t="str">
        <f>IF(ISNA(VLOOKUP(D184,'Base PFR table'!K:K,1,FALSE)),"NO","YES")</f>
        <v>YES</v>
      </c>
      <c r="O184" s="35" t="s">
        <v>2858</v>
      </c>
      <c r="P184" s="35" t="s">
        <v>2858</v>
      </c>
    </row>
    <row r="185" spans="1:18" ht="15" customHeight="1" x14ac:dyDescent="0.25">
      <c r="A185" s="3" t="s">
        <v>2087</v>
      </c>
      <c r="D185" s="1" t="s">
        <v>560</v>
      </c>
      <c r="E185" s="15" t="s">
        <v>803</v>
      </c>
      <c r="F185" s="20" t="s">
        <v>1489</v>
      </c>
      <c r="G185" s="9" t="s">
        <v>1490</v>
      </c>
      <c r="H185" s="9" t="s">
        <v>1171</v>
      </c>
      <c r="I185" s="9" t="s">
        <v>2133</v>
      </c>
      <c r="J185" s="10">
        <v>44662</v>
      </c>
      <c r="K185" s="10">
        <v>44662</v>
      </c>
      <c r="L185" s="9" t="s">
        <v>2844</v>
      </c>
      <c r="M185" s="33" t="str">
        <f>IF(ISNA(VLOOKUP(D185,'[3]Table APOQUA files'!$B:$B,1,FALSE)),"NO","YES")</f>
        <v>YES</v>
      </c>
      <c r="N185" s="33" t="str">
        <f>IF(ISNA(VLOOKUP(D185,'Base PFR table'!K:K,1,FALSE)),"NO","YES")</f>
        <v>NO</v>
      </c>
      <c r="O185" s="35" t="s">
        <v>2858</v>
      </c>
      <c r="P185" s="35" t="s">
        <v>2858</v>
      </c>
    </row>
    <row r="186" spans="1:18" ht="15" customHeight="1" x14ac:dyDescent="0.25">
      <c r="A186" s="3" t="s">
        <v>2087</v>
      </c>
      <c r="D186" s="1" t="s">
        <v>563</v>
      </c>
      <c r="E186" s="15" t="s">
        <v>804</v>
      </c>
      <c r="F186" s="20" t="s">
        <v>1491</v>
      </c>
      <c r="G186" s="9" t="s">
        <v>1218</v>
      </c>
      <c r="H186" s="9" t="s">
        <v>593</v>
      </c>
      <c r="I186" s="9" t="s">
        <v>2126</v>
      </c>
      <c r="J186" s="10">
        <v>44797</v>
      </c>
      <c r="K186" s="10">
        <v>44722</v>
      </c>
      <c r="L186" s="9" t="s">
        <v>2844</v>
      </c>
      <c r="M186" s="33" t="str">
        <f>IF(ISNA(VLOOKUP(D186,'[3]Table APOQUA files'!$B:$B,1,FALSE)),"NO","YES")</f>
        <v>YES</v>
      </c>
      <c r="N186" s="33" t="str">
        <f>IF(ISNA(VLOOKUP(D186,'Base PFR table'!K:K,1,FALSE)),"NO","YES")</f>
        <v>NO</v>
      </c>
      <c r="O186" s="35" t="s">
        <v>2858</v>
      </c>
      <c r="P186" s="35" t="s">
        <v>2858</v>
      </c>
    </row>
    <row r="187" spans="1:18" s="18" customFormat="1" ht="15" customHeight="1" x14ac:dyDescent="0.25">
      <c r="A187" s="3" t="s">
        <v>2087</v>
      </c>
      <c r="C187" s="35"/>
      <c r="D187" s="1" t="s">
        <v>564</v>
      </c>
      <c r="E187" s="15" t="s">
        <v>805</v>
      </c>
      <c r="F187" s="20" t="s">
        <v>1492</v>
      </c>
      <c r="G187" s="9" t="s">
        <v>1206</v>
      </c>
      <c r="H187" s="9" t="s">
        <v>593</v>
      </c>
      <c r="I187" s="9" t="s">
        <v>2122</v>
      </c>
      <c r="J187" s="10">
        <v>0</v>
      </c>
      <c r="K187" s="10">
        <v>45337</v>
      </c>
      <c r="L187" s="9" t="s">
        <v>1207</v>
      </c>
      <c r="M187" s="33" t="str">
        <f>IF(ISNA(VLOOKUP(D187,'[3]Table APOQUA files'!$B:$B,1,FALSE)),"NO","YES")</f>
        <v>YES</v>
      </c>
      <c r="N187" s="33" t="str">
        <f>IF(ISNA(VLOOKUP(D187,'Base PFR table'!K:K,1,FALSE)),"NO","YES")</f>
        <v>NO</v>
      </c>
      <c r="O187" s="35" t="s">
        <v>2859</v>
      </c>
      <c r="P187" s="35" t="s">
        <v>2803</v>
      </c>
      <c r="Q187" s="18" t="s">
        <v>2867</v>
      </c>
      <c r="R187" s="18" t="s">
        <v>2876</v>
      </c>
    </row>
    <row r="188" spans="1:18" ht="15" customHeight="1" x14ac:dyDescent="0.25">
      <c r="A188" s="3" t="s">
        <v>2087</v>
      </c>
      <c r="D188" s="1" t="s">
        <v>1199</v>
      </c>
      <c r="E188" s="15" t="s">
        <v>1202</v>
      </c>
      <c r="F188" s="20" t="s">
        <v>1960</v>
      </c>
      <c r="G188" s="9" t="s">
        <v>1317</v>
      </c>
      <c r="H188" s="9"/>
      <c r="I188" s="9" t="s">
        <v>2130</v>
      </c>
      <c r="J188" s="10">
        <v>44756</v>
      </c>
      <c r="K188" s="10" t="s">
        <v>1262</v>
      </c>
      <c r="L188" s="9" t="s">
        <v>2843</v>
      </c>
      <c r="M188" s="33" t="str">
        <f>IF(ISNA(VLOOKUP(D188,'[3]Table APOQUA files'!$B:$B,1,FALSE)),"NO","YES")</f>
        <v>YES</v>
      </c>
      <c r="N188" s="33" t="str">
        <f>IF(ISNA(VLOOKUP(D188,'Base PFR table'!K:K,1,FALSE)),"NO","YES")</f>
        <v>NO</v>
      </c>
      <c r="O188" s="35" t="s">
        <v>2858</v>
      </c>
      <c r="P188" s="35" t="s">
        <v>2858</v>
      </c>
    </row>
    <row r="189" spans="1:18" ht="15" customHeight="1" x14ac:dyDescent="0.25">
      <c r="A189" s="3" t="s">
        <v>2087</v>
      </c>
      <c r="D189" s="1" t="s">
        <v>569</v>
      </c>
      <c r="E189" s="15" t="s">
        <v>806</v>
      </c>
      <c r="F189" s="20" t="s">
        <v>1493</v>
      </c>
      <c r="G189" s="9" t="s">
        <v>1285</v>
      </c>
      <c r="H189" s="9" t="s">
        <v>1176</v>
      </c>
      <c r="I189" s="9" t="s">
        <v>2129</v>
      </c>
      <c r="J189" s="10">
        <v>44881</v>
      </c>
      <c r="K189" s="10">
        <v>45035</v>
      </c>
      <c r="L189" s="9" t="s">
        <v>2843</v>
      </c>
      <c r="M189" s="33" t="str">
        <f>IF(ISNA(VLOOKUP(D189,'[3]Table APOQUA files'!$B:$B,1,FALSE)),"NO","YES")</f>
        <v>YES</v>
      </c>
      <c r="N189" s="33" t="str">
        <f>IF(ISNA(VLOOKUP(D189,'Base PFR table'!K:K,1,FALSE)),"NO","YES")</f>
        <v>NO</v>
      </c>
      <c r="O189" s="35" t="s">
        <v>2858</v>
      </c>
      <c r="P189" s="35" t="s">
        <v>2858</v>
      </c>
    </row>
    <row r="190" spans="1:18" ht="15" customHeight="1" x14ac:dyDescent="0.25">
      <c r="B190" s="69" t="s">
        <v>2087</v>
      </c>
      <c r="D190" s="1" t="s">
        <v>1200</v>
      </c>
      <c r="E190" s="15" t="s">
        <v>1203</v>
      </c>
      <c r="F190" s="20" t="s">
        <v>1961</v>
      </c>
      <c r="G190" s="9" t="s">
        <v>1274</v>
      </c>
      <c r="H190" s="9"/>
      <c r="I190" s="9" t="s">
        <v>2130</v>
      </c>
      <c r="J190" s="10">
        <v>44757</v>
      </c>
      <c r="K190" s="10" t="s">
        <v>1262</v>
      </c>
      <c r="L190" s="9" t="s">
        <v>2843</v>
      </c>
      <c r="M190" s="33" t="str">
        <f>IF(ISNA(VLOOKUP(D190,'[3]Table APOQUA files'!$B:$B,1,FALSE)),"NO","YES")</f>
        <v>YES</v>
      </c>
      <c r="N190" s="33" t="str">
        <f>IF(ISNA(VLOOKUP(D190,'Base PFR table'!K:K,1,FALSE)),"NO","YES")</f>
        <v>NO</v>
      </c>
      <c r="O190" s="35" t="s">
        <v>2858</v>
      </c>
      <c r="P190" s="35" t="s">
        <v>2858</v>
      </c>
    </row>
    <row r="191" spans="1:18" ht="14.25" customHeight="1" x14ac:dyDescent="0.25">
      <c r="B191" s="69" t="s">
        <v>2087</v>
      </c>
      <c r="D191" s="1" t="s">
        <v>1962</v>
      </c>
      <c r="E191" s="65" t="s">
        <v>1964</v>
      </c>
      <c r="F191" s="12" t="s">
        <v>1963</v>
      </c>
      <c r="G191" s="11" t="s">
        <v>1593</v>
      </c>
      <c r="H191" s="11"/>
      <c r="I191" s="9" t="s">
        <v>2122</v>
      </c>
      <c r="J191" s="13">
        <v>44732</v>
      </c>
      <c r="K191" s="13">
        <v>45244</v>
      </c>
      <c r="L191" s="11" t="s">
        <v>1207</v>
      </c>
      <c r="M191" s="33" t="str">
        <f>IF(ISNA(VLOOKUP(D191,'[3]Table APOQUA files'!$B:$B,1,FALSE)),"NO","YES")</f>
        <v>NO</v>
      </c>
      <c r="N191" s="33" t="str">
        <f>IF(ISNA(VLOOKUP(D191,'Base PFR table'!K:K,1,FALSE)),"NO","YES")</f>
        <v>NO</v>
      </c>
      <c r="O191" s="35" t="s">
        <v>2870</v>
      </c>
      <c r="P191" s="35" t="s">
        <v>2865</v>
      </c>
      <c r="Q191" s="3" t="s">
        <v>2867</v>
      </c>
      <c r="R191" s="3" t="s">
        <v>2871</v>
      </c>
    </row>
    <row r="192" spans="1:18" ht="15" customHeight="1" x14ac:dyDescent="0.25">
      <c r="B192" s="69" t="s">
        <v>2087</v>
      </c>
      <c r="C192" s="67"/>
      <c r="D192" s="14" t="s">
        <v>553</v>
      </c>
      <c r="E192" s="15" t="s">
        <v>807</v>
      </c>
      <c r="F192" s="22" t="s">
        <v>1974</v>
      </c>
      <c r="G192" s="16" t="s">
        <v>1494</v>
      </c>
      <c r="H192" s="16" t="s">
        <v>608</v>
      </c>
      <c r="I192" s="9" t="s">
        <v>2126</v>
      </c>
      <c r="J192" s="17">
        <v>44747</v>
      </c>
      <c r="K192" s="17">
        <v>45418</v>
      </c>
      <c r="L192" s="16" t="s">
        <v>1207</v>
      </c>
      <c r="M192" s="33" t="str">
        <f>IF(ISNA(VLOOKUP(D192,'[3]Table APOQUA files'!$B:$B,1,FALSE)),"NO","YES")</f>
        <v>YES</v>
      </c>
      <c r="N192" s="33" t="str">
        <f>IF(ISNA(VLOOKUP(D192,'Base PFR table'!K:K,1,FALSE)),"NO","YES")</f>
        <v>YES</v>
      </c>
      <c r="O192" s="35" t="s">
        <v>2858</v>
      </c>
      <c r="P192" s="35" t="s">
        <v>2858</v>
      </c>
    </row>
    <row r="193" spans="1:16" ht="15" customHeight="1" x14ac:dyDescent="0.25">
      <c r="B193" s="70" t="s">
        <v>2087</v>
      </c>
      <c r="D193" s="1" t="s">
        <v>586</v>
      </c>
      <c r="E193" s="15" t="s">
        <v>808</v>
      </c>
      <c r="F193" s="20" t="s">
        <v>1495</v>
      </c>
      <c r="G193" s="9" t="s">
        <v>1496</v>
      </c>
      <c r="H193" s="9" t="s">
        <v>1176</v>
      </c>
      <c r="I193" s="9" t="s">
        <v>2131</v>
      </c>
      <c r="J193" s="10">
        <v>44806</v>
      </c>
      <c r="K193" s="10" t="s">
        <v>2027</v>
      </c>
      <c r="L193" s="9" t="s">
        <v>1209</v>
      </c>
      <c r="M193" s="33" t="str">
        <f>IF(ISNA(VLOOKUP(D193,'[3]Table APOQUA files'!$B:$B,1,FALSE)),"NO","YES")</f>
        <v>YES</v>
      </c>
      <c r="N193" s="33" t="str">
        <f>IF(ISNA(VLOOKUP(D193,'Base PFR table'!K:K,1,FALSE)),"NO","YES")</f>
        <v>NO</v>
      </c>
      <c r="O193" s="35" t="s">
        <v>2858</v>
      </c>
      <c r="P193" s="35" t="s">
        <v>2858</v>
      </c>
    </row>
    <row r="194" spans="1:16" s="18" customFormat="1" ht="15" customHeight="1" x14ac:dyDescent="0.25">
      <c r="A194" s="3"/>
      <c r="B194" s="69" t="s">
        <v>2087</v>
      </c>
      <c r="C194" s="35"/>
      <c r="D194" s="14" t="s">
        <v>572</v>
      </c>
      <c r="E194" s="15" t="s">
        <v>809</v>
      </c>
      <c r="F194" s="22" t="s">
        <v>1497</v>
      </c>
      <c r="G194" s="16" t="s">
        <v>1498</v>
      </c>
      <c r="H194" s="16" t="s">
        <v>1176</v>
      </c>
      <c r="I194" s="16" t="s">
        <v>2129</v>
      </c>
      <c r="J194" s="17">
        <v>44890</v>
      </c>
      <c r="K194" s="17" t="s">
        <v>1329</v>
      </c>
      <c r="L194" s="17" t="s">
        <v>1209</v>
      </c>
      <c r="M194" s="55" t="str">
        <f>IF(ISNA(VLOOKUP(D194,'[3]Table APOQUA files'!$B:$B,1,FALSE)),"NO","YES")</f>
        <v>YES</v>
      </c>
      <c r="N194" s="55" t="str">
        <f>IF(ISNA(VLOOKUP(D194,'Base PFR table'!K:K,1,FALSE)),"NO","YES")</f>
        <v>NO</v>
      </c>
      <c r="O194" s="35" t="s">
        <v>2858</v>
      </c>
      <c r="P194" s="35" t="s">
        <v>2858</v>
      </c>
    </row>
    <row r="195" spans="1:16" s="18" customFormat="1" ht="15" customHeight="1" x14ac:dyDescent="0.25">
      <c r="A195" s="3"/>
      <c r="B195" s="69" t="s">
        <v>2087</v>
      </c>
      <c r="C195" s="35"/>
      <c r="D195" s="14" t="s">
        <v>575</v>
      </c>
      <c r="E195" s="15" t="s">
        <v>810</v>
      </c>
      <c r="F195" s="22" t="s">
        <v>1499</v>
      </c>
      <c r="G195" s="16" t="s">
        <v>1289</v>
      </c>
      <c r="H195" s="16" t="s">
        <v>1176</v>
      </c>
      <c r="I195" s="16" t="s">
        <v>2129</v>
      </c>
      <c r="J195" s="17">
        <v>44806</v>
      </c>
      <c r="K195" s="17" t="s">
        <v>1500</v>
      </c>
      <c r="L195" s="17" t="s">
        <v>1209</v>
      </c>
      <c r="M195" s="55" t="str">
        <f>IF(ISNA(VLOOKUP(D195,'[3]Table APOQUA files'!$B:$B,1,FALSE)),"NO","YES")</f>
        <v>YES</v>
      </c>
      <c r="N195" s="55" t="str">
        <f>IF(ISNA(VLOOKUP(D195,'Base PFR table'!K:K,1,FALSE)),"NO","YES")</f>
        <v>NO</v>
      </c>
      <c r="O195" s="35" t="s">
        <v>2858</v>
      </c>
      <c r="P195" s="35" t="s">
        <v>2858</v>
      </c>
    </row>
    <row r="196" spans="1:16" ht="15" customHeight="1" x14ac:dyDescent="0.25">
      <c r="B196" s="69" t="s">
        <v>2087</v>
      </c>
      <c r="D196" s="1" t="s">
        <v>1196</v>
      </c>
      <c r="E196" s="15" t="s">
        <v>1197</v>
      </c>
      <c r="F196" s="20" t="s">
        <v>1957</v>
      </c>
      <c r="G196" s="9" t="s">
        <v>1403</v>
      </c>
      <c r="H196" s="9" t="s">
        <v>599</v>
      </c>
      <c r="I196" s="9" t="s">
        <v>2057</v>
      </c>
      <c r="J196" s="10">
        <v>44806</v>
      </c>
      <c r="K196" s="10" t="s">
        <v>1948</v>
      </c>
      <c r="L196" s="9" t="s">
        <v>2843</v>
      </c>
      <c r="M196" s="33" t="str">
        <f>IF(ISNA(VLOOKUP(D196,'[3]Table APOQUA files'!$B:$B,1,FALSE)),"NO","YES")</f>
        <v>YES</v>
      </c>
      <c r="N196" s="33" t="str">
        <f>IF(ISNA(VLOOKUP(D196,'Base PFR table'!K:K,1,FALSE)),"NO","YES")</f>
        <v>NO</v>
      </c>
      <c r="O196" s="35" t="s">
        <v>2858</v>
      </c>
      <c r="P196" s="35" t="s">
        <v>2858</v>
      </c>
    </row>
    <row r="197" spans="1:16" ht="15" customHeight="1" x14ac:dyDescent="0.25">
      <c r="B197" s="71" t="s">
        <v>2087</v>
      </c>
      <c r="D197" s="1" t="s">
        <v>600</v>
      </c>
      <c r="E197" s="15" t="s">
        <v>601</v>
      </c>
      <c r="F197" s="20" t="s">
        <v>2101</v>
      </c>
      <c r="G197" s="9" t="s">
        <v>1842</v>
      </c>
      <c r="H197" s="9" t="s">
        <v>593</v>
      </c>
      <c r="I197" s="9" t="s">
        <v>2123</v>
      </c>
      <c r="J197" s="10">
        <v>44973</v>
      </c>
      <c r="K197" s="9" t="s">
        <v>1943</v>
      </c>
      <c r="L197" s="9" t="s">
        <v>2843</v>
      </c>
      <c r="M197" s="33" t="str">
        <f>IF(ISNA(VLOOKUP(D197,'[3]Table APOQUA files'!$B:$B,1,FALSE)),"NO","YES")</f>
        <v>YES</v>
      </c>
      <c r="N197" s="33" t="str">
        <f>IF(ISNA(VLOOKUP(D197,'Base PFR table'!K:K,1,FALSE)),"NO","YES")</f>
        <v>NO</v>
      </c>
      <c r="O197" s="35" t="s">
        <v>2858</v>
      </c>
      <c r="P197" s="35" t="s">
        <v>2858</v>
      </c>
    </row>
    <row r="198" spans="1:16" ht="15" customHeight="1" x14ac:dyDescent="0.25">
      <c r="B198" s="69" t="s">
        <v>2087</v>
      </c>
      <c r="C198" s="67"/>
      <c r="D198" s="1" t="s">
        <v>597</v>
      </c>
      <c r="E198" s="15" t="s">
        <v>598</v>
      </c>
      <c r="F198" s="20" t="s">
        <v>1942</v>
      </c>
      <c r="G198" s="9" t="s">
        <v>1319</v>
      </c>
      <c r="H198" s="9" t="s">
        <v>599</v>
      </c>
      <c r="I198" s="9" t="s">
        <v>2123</v>
      </c>
      <c r="J198" s="10">
        <v>44977</v>
      </c>
      <c r="K198" s="10">
        <v>45225</v>
      </c>
      <c r="L198" s="9" t="s">
        <v>1207</v>
      </c>
      <c r="M198" s="33" t="str">
        <f>IF(ISNA(VLOOKUP(D198,'[3]Table APOQUA files'!$B:$B,1,FALSE)),"NO","YES")</f>
        <v>YES</v>
      </c>
      <c r="N198" s="33" t="str">
        <f>IF(ISNA(VLOOKUP(D198,'Base PFR table'!K:K,1,FALSE)),"NO","YES")</f>
        <v>NO</v>
      </c>
      <c r="O198" s="35" t="s">
        <v>2858</v>
      </c>
      <c r="P198" s="35" t="s">
        <v>2858</v>
      </c>
    </row>
    <row r="199" spans="1:16" ht="15" customHeight="1" x14ac:dyDescent="0.25">
      <c r="B199" s="72" t="s">
        <v>2087</v>
      </c>
      <c r="D199" s="1" t="s">
        <v>1187</v>
      </c>
      <c r="E199" s="15" t="s">
        <v>1188</v>
      </c>
      <c r="F199" s="20" t="s">
        <v>1953</v>
      </c>
      <c r="G199" s="9" t="s">
        <v>1340</v>
      </c>
      <c r="H199" s="9" t="s">
        <v>1171</v>
      </c>
      <c r="I199" s="9" t="s">
        <v>2122</v>
      </c>
      <c r="J199" s="10">
        <v>44806</v>
      </c>
      <c r="K199" s="10">
        <v>45434</v>
      </c>
      <c r="L199" s="9" t="s">
        <v>1487</v>
      </c>
      <c r="M199" s="33" t="str">
        <f>IF(ISNA(VLOOKUP(D199,'[3]Table APOQUA files'!$B:$B,1,FALSE)),"NO","YES")</f>
        <v>YES</v>
      </c>
      <c r="N199" s="33" t="str">
        <f>IF(ISNA(VLOOKUP(D199,'Base PFR table'!K:K,1,FALSE)),"NO","YES")</f>
        <v>NO</v>
      </c>
      <c r="O199" s="35" t="s">
        <v>2858</v>
      </c>
      <c r="P199" s="35" t="s">
        <v>2858</v>
      </c>
    </row>
    <row r="200" spans="1:16" ht="15" customHeight="1" x14ac:dyDescent="0.25">
      <c r="B200" s="69" t="s">
        <v>2087</v>
      </c>
      <c r="D200" s="1" t="s">
        <v>576</v>
      </c>
      <c r="E200" s="15" t="s">
        <v>811</v>
      </c>
      <c r="F200" s="20" t="s">
        <v>1501</v>
      </c>
      <c r="G200" s="9" t="s">
        <v>1220</v>
      </c>
      <c r="H200" s="9" t="s">
        <v>1170</v>
      </c>
      <c r="I200" s="9" t="s">
        <v>2132</v>
      </c>
      <c r="J200" s="10">
        <v>44806</v>
      </c>
      <c r="K200" s="10">
        <v>45345</v>
      </c>
      <c r="L200" s="9" t="s">
        <v>1207</v>
      </c>
      <c r="M200" s="33" t="str">
        <f>IF(ISNA(VLOOKUP(D200,'[3]Table APOQUA files'!$B:$B,1,FALSE)),"NO","YES")</f>
        <v>YES</v>
      </c>
      <c r="N200" s="33" t="str">
        <f>IF(ISNA(VLOOKUP(D200,'Base PFR table'!K:K,1,FALSE)),"NO","YES")</f>
        <v>NO</v>
      </c>
      <c r="O200" s="35" t="s">
        <v>2858</v>
      </c>
      <c r="P200" s="35" t="s">
        <v>2858</v>
      </c>
    </row>
    <row r="201" spans="1:16" ht="15" customHeight="1" x14ac:dyDescent="0.25">
      <c r="B201" s="69" t="s">
        <v>2087</v>
      </c>
      <c r="D201" s="1" t="s">
        <v>568</v>
      </c>
      <c r="E201" s="15" t="s">
        <v>812</v>
      </c>
      <c r="F201" s="20" t="s">
        <v>1502</v>
      </c>
      <c r="G201" s="9" t="s">
        <v>1503</v>
      </c>
      <c r="H201" s="9" t="s">
        <v>1170</v>
      </c>
      <c r="I201" s="9" t="s">
        <v>2129</v>
      </c>
      <c r="J201" s="10">
        <v>44873</v>
      </c>
      <c r="K201" s="10">
        <v>44897</v>
      </c>
      <c r="L201" s="9" t="s">
        <v>2844</v>
      </c>
      <c r="M201" s="33" t="str">
        <f>IF(ISNA(VLOOKUP(D201,'[3]Table APOQUA files'!$B:$B,1,FALSE)),"NO","YES")</f>
        <v>YES</v>
      </c>
      <c r="N201" s="33" t="str">
        <f>IF(ISNA(VLOOKUP(D201,'Base PFR table'!K:K,1,FALSE)),"NO","YES")</f>
        <v>NO</v>
      </c>
      <c r="O201" s="35" t="s">
        <v>2858</v>
      </c>
      <c r="P201" s="35" t="s">
        <v>2858</v>
      </c>
    </row>
    <row r="202" spans="1:16" ht="15" customHeight="1" x14ac:dyDescent="0.25">
      <c r="B202" s="72" t="s">
        <v>2087</v>
      </c>
      <c r="C202" s="67"/>
      <c r="D202" s="1" t="s">
        <v>609</v>
      </c>
      <c r="E202" s="15" t="s">
        <v>2762</v>
      </c>
      <c r="F202" s="20" t="s">
        <v>2103</v>
      </c>
      <c r="G202" s="9" t="s">
        <v>1425</v>
      </c>
      <c r="H202" s="9" t="s">
        <v>612</v>
      </c>
      <c r="I202" s="9" t="s">
        <v>2057</v>
      </c>
      <c r="J202" s="10">
        <v>44806</v>
      </c>
      <c r="K202" s="10">
        <v>45229</v>
      </c>
      <c r="L202" s="9" t="s">
        <v>1207</v>
      </c>
      <c r="M202" s="33" t="str">
        <f>IF(ISNA(VLOOKUP(D202,'[3]Table APOQUA files'!$B:$B,1,FALSE)),"NO","YES")</f>
        <v>YES</v>
      </c>
      <c r="N202" s="33" t="str">
        <f>IF(ISNA(VLOOKUP(D202,'Base PFR table'!K:K,1,FALSE)),"NO","YES")</f>
        <v>NO</v>
      </c>
      <c r="O202" s="35" t="s">
        <v>2858</v>
      </c>
      <c r="P202" s="35" t="s">
        <v>2858</v>
      </c>
    </row>
    <row r="203" spans="1:16" ht="15" customHeight="1" x14ac:dyDescent="0.25">
      <c r="B203" s="72" t="s">
        <v>2087</v>
      </c>
      <c r="D203" s="14" t="s">
        <v>585</v>
      </c>
      <c r="E203" s="15" t="s">
        <v>813</v>
      </c>
      <c r="F203" s="22" t="s">
        <v>1504</v>
      </c>
      <c r="G203" s="16" t="s">
        <v>1505</v>
      </c>
      <c r="H203" s="16" t="s">
        <v>1177</v>
      </c>
      <c r="I203" s="16" t="s">
        <v>2123</v>
      </c>
      <c r="J203" s="10">
        <v>44806</v>
      </c>
      <c r="K203" s="10">
        <v>45504</v>
      </c>
      <c r="L203" s="9" t="s">
        <v>1207</v>
      </c>
      <c r="M203" s="33" t="str">
        <f>IF(ISNA(VLOOKUP(D203,'[3]Table APOQUA files'!$B:$B,1,FALSE)),"NO","YES")</f>
        <v>YES</v>
      </c>
      <c r="N203" s="33" t="str">
        <f>IF(ISNA(VLOOKUP(D203,'Base PFR table'!K:K,1,FALSE)),"NO","YES")</f>
        <v>NO</v>
      </c>
      <c r="O203" s="35" t="s">
        <v>2858</v>
      </c>
      <c r="P203" s="35" t="s">
        <v>2858</v>
      </c>
    </row>
    <row r="204" spans="1:16" ht="15" customHeight="1" x14ac:dyDescent="0.25">
      <c r="B204" s="72" t="s">
        <v>2087</v>
      </c>
      <c r="D204" s="14" t="s">
        <v>579</v>
      </c>
      <c r="E204" s="15" t="s">
        <v>814</v>
      </c>
      <c r="F204" s="22" t="s">
        <v>1506</v>
      </c>
      <c r="G204" s="16" t="s">
        <v>1507</v>
      </c>
      <c r="H204" s="16" t="s">
        <v>1179</v>
      </c>
      <c r="I204" s="16" t="s">
        <v>2129</v>
      </c>
      <c r="J204" s="10">
        <v>44806</v>
      </c>
      <c r="K204" s="10">
        <v>45027</v>
      </c>
      <c r="L204" s="10" t="s">
        <v>1209</v>
      </c>
      <c r="M204" s="33" t="str">
        <f>IF(ISNA(VLOOKUP(D204,'[3]Table APOQUA files'!$B:$B,1,FALSE)),"NO","YES")</f>
        <v>YES</v>
      </c>
      <c r="N204" s="33" t="str">
        <f>IF(ISNA(VLOOKUP(D204,'Base PFR table'!K:K,1,FALSE)),"NO","YES")</f>
        <v>NO</v>
      </c>
      <c r="O204" s="35" t="s">
        <v>2858</v>
      </c>
      <c r="P204" s="35" t="s">
        <v>2858</v>
      </c>
    </row>
    <row r="205" spans="1:16" ht="15" customHeight="1" x14ac:dyDescent="0.25">
      <c r="B205" s="69" t="s">
        <v>2087</v>
      </c>
      <c r="C205" s="67"/>
      <c r="D205" s="14" t="s">
        <v>573</v>
      </c>
      <c r="E205" s="15" t="s">
        <v>815</v>
      </c>
      <c r="F205" s="22" t="s">
        <v>1508</v>
      </c>
      <c r="G205" s="16" t="s">
        <v>1509</v>
      </c>
      <c r="H205" s="16" t="s">
        <v>608</v>
      </c>
      <c r="I205" s="16" t="s">
        <v>2126</v>
      </c>
      <c r="J205" s="10">
        <v>0</v>
      </c>
      <c r="K205" s="10" t="s">
        <v>1329</v>
      </c>
      <c r="L205" s="10" t="s">
        <v>1209</v>
      </c>
      <c r="M205" s="33" t="str">
        <f>IF(ISNA(VLOOKUP(D205,'[3]Table APOQUA files'!$B:$B,1,FALSE)),"NO","YES")</f>
        <v>YES</v>
      </c>
      <c r="N205" s="33" t="str">
        <f>IF(ISNA(VLOOKUP(D205,'Base PFR table'!K:K,1,FALSE)),"NO","YES")</f>
        <v>NO</v>
      </c>
      <c r="O205" s="35" t="s">
        <v>2858</v>
      </c>
      <c r="P205" s="35" t="s">
        <v>2858</v>
      </c>
    </row>
    <row r="206" spans="1:16" ht="15" customHeight="1" x14ac:dyDescent="0.25">
      <c r="B206" s="69" t="s">
        <v>2087</v>
      </c>
      <c r="D206" s="1" t="s">
        <v>566</v>
      </c>
      <c r="E206" s="15" t="s">
        <v>816</v>
      </c>
      <c r="F206" s="20" t="s">
        <v>1510</v>
      </c>
      <c r="G206" s="9" t="s">
        <v>1511</v>
      </c>
      <c r="H206" s="9" t="s">
        <v>599</v>
      </c>
      <c r="I206" s="9" t="s">
        <v>2124</v>
      </c>
      <c r="J206" s="10">
        <v>44699</v>
      </c>
      <c r="K206" s="10">
        <v>45420</v>
      </c>
      <c r="L206" s="10" t="s">
        <v>2675</v>
      </c>
      <c r="M206" s="33" t="str">
        <f>IF(ISNA(VLOOKUP(D206,'[3]Table APOQUA files'!$B:$B,1,FALSE)),"NO","YES")</f>
        <v>YES</v>
      </c>
      <c r="N206" s="33" t="str">
        <f>IF(ISNA(VLOOKUP(D206,'Base PFR table'!K:K,1,FALSE)),"NO","YES")</f>
        <v>NO</v>
      </c>
      <c r="O206" s="35" t="s">
        <v>2858</v>
      </c>
      <c r="P206" s="35" t="s">
        <v>2858</v>
      </c>
    </row>
    <row r="207" spans="1:16" ht="15" customHeight="1" x14ac:dyDescent="0.25">
      <c r="B207" s="72" t="s">
        <v>2087</v>
      </c>
      <c r="C207" s="67"/>
      <c r="D207" s="1" t="s">
        <v>574</v>
      </c>
      <c r="E207" s="15" t="s">
        <v>817</v>
      </c>
      <c r="F207" s="20" t="s">
        <v>2763</v>
      </c>
      <c r="G207" s="9" t="s">
        <v>1513</v>
      </c>
      <c r="H207" s="9" t="s">
        <v>599</v>
      </c>
      <c r="I207" s="9" t="s">
        <v>2057</v>
      </c>
      <c r="J207" s="10">
        <v>44867</v>
      </c>
      <c r="K207" s="10">
        <v>45378</v>
      </c>
      <c r="L207" s="9" t="s">
        <v>1487</v>
      </c>
      <c r="M207" s="33" t="str">
        <f>IF(ISNA(VLOOKUP(D207,'[3]Table APOQUA files'!$B:$B,1,FALSE)),"NO","YES")</f>
        <v>YES</v>
      </c>
      <c r="N207" s="33" t="str">
        <f>IF(ISNA(VLOOKUP(D207,'Base PFR table'!K:K,1,FALSE)),"NO","YES")</f>
        <v>YES</v>
      </c>
      <c r="O207" s="35" t="s">
        <v>2858</v>
      </c>
      <c r="P207" s="35" t="s">
        <v>2858</v>
      </c>
    </row>
    <row r="208" spans="1:16" ht="15" customHeight="1" x14ac:dyDescent="0.25">
      <c r="B208" s="73" t="s">
        <v>2087</v>
      </c>
      <c r="C208" s="67"/>
      <c r="D208" s="1" t="s">
        <v>1189</v>
      </c>
      <c r="E208" s="15" t="s">
        <v>1190</v>
      </c>
      <c r="F208" s="20" t="s">
        <v>1954</v>
      </c>
      <c r="G208" s="9" t="s">
        <v>1444</v>
      </c>
      <c r="H208" s="9" t="s">
        <v>599</v>
      </c>
      <c r="I208" s="9" t="s">
        <v>2057</v>
      </c>
      <c r="J208" s="10">
        <v>45000</v>
      </c>
      <c r="K208" s="10">
        <v>45230</v>
      </c>
      <c r="L208" s="9" t="s">
        <v>1207</v>
      </c>
      <c r="M208" s="33" t="str">
        <f>IF(ISNA(VLOOKUP(D208,'[3]Table APOQUA files'!$B:$B,1,FALSE)),"NO","YES")</f>
        <v>YES</v>
      </c>
      <c r="N208" s="33" t="str">
        <f>IF(ISNA(VLOOKUP(D208,'Base PFR table'!K:K,1,FALSE)),"NO","YES")</f>
        <v>NO</v>
      </c>
      <c r="O208" s="35" t="s">
        <v>2858</v>
      </c>
      <c r="P208" s="35" t="s">
        <v>2858</v>
      </c>
    </row>
    <row r="209" spans="1:16" s="18" customFormat="1" ht="15" customHeight="1" x14ac:dyDescent="0.25">
      <c r="A209" s="3"/>
      <c r="B209" s="3" t="s">
        <v>2087</v>
      </c>
      <c r="C209" s="35"/>
      <c r="D209" s="14" t="s">
        <v>578</v>
      </c>
      <c r="E209" s="15" t="s">
        <v>818</v>
      </c>
      <c r="F209" s="22" t="s">
        <v>1208</v>
      </c>
      <c r="G209" s="16" t="s">
        <v>1208</v>
      </c>
      <c r="H209" s="16" t="s">
        <v>539</v>
      </c>
      <c r="I209" s="16" t="s">
        <v>2129</v>
      </c>
      <c r="J209" s="17">
        <v>44806</v>
      </c>
      <c r="K209" s="17">
        <v>45236</v>
      </c>
      <c r="L209" s="16" t="s">
        <v>2843</v>
      </c>
      <c r="M209" s="55" t="str">
        <f>IF(ISNA(VLOOKUP(D209,'[3]Table APOQUA files'!$B:$B,1,FALSE)),"NO","YES")</f>
        <v>YES</v>
      </c>
      <c r="N209" s="55" t="str">
        <f>IF(ISNA(VLOOKUP(D209,'Base PFR table'!K:K,1,FALSE)),"NO","YES")</f>
        <v>NO</v>
      </c>
      <c r="O209" s="35" t="s">
        <v>2858</v>
      </c>
      <c r="P209" s="35" t="s">
        <v>2858</v>
      </c>
    </row>
    <row r="210" spans="1:16" s="18" customFormat="1" ht="15" customHeight="1" x14ac:dyDescent="0.25">
      <c r="A210" s="3"/>
      <c r="B210" s="69" t="s">
        <v>2087</v>
      </c>
      <c r="C210" s="35"/>
      <c r="D210" s="14" t="s">
        <v>581</v>
      </c>
      <c r="E210" s="15" t="s">
        <v>819</v>
      </c>
      <c r="F210" s="22" t="s">
        <v>1514</v>
      </c>
      <c r="G210" s="16" t="s">
        <v>1515</v>
      </c>
      <c r="H210" s="16" t="s">
        <v>1176</v>
      </c>
      <c r="I210" s="16" t="s">
        <v>2129</v>
      </c>
      <c r="J210" s="17">
        <v>44806</v>
      </c>
      <c r="K210" s="17" t="s">
        <v>1500</v>
      </c>
      <c r="L210" s="17" t="s">
        <v>1209</v>
      </c>
      <c r="M210" s="55" t="str">
        <f>IF(ISNA(VLOOKUP(D210,'[3]Table APOQUA files'!$B:$B,1,FALSE)),"NO","YES")</f>
        <v>YES</v>
      </c>
      <c r="N210" s="55" t="str">
        <f>IF(ISNA(VLOOKUP(D210,'Base PFR table'!K:K,1,FALSE)),"NO","YES")</f>
        <v>NO</v>
      </c>
      <c r="O210" s="35" t="s">
        <v>2858</v>
      </c>
      <c r="P210" s="35" t="s">
        <v>2858</v>
      </c>
    </row>
    <row r="211" spans="1:16" s="18" customFormat="1" ht="15" customHeight="1" x14ac:dyDescent="0.25">
      <c r="A211" s="3"/>
      <c r="B211" s="69" t="s">
        <v>2087</v>
      </c>
      <c r="C211" s="35"/>
      <c r="D211" s="14" t="s">
        <v>583</v>
      </c>
      <c r="E211" s="15" t="s">
        <v>820</v>
      </c>
      <c r="F211" s="22" t="s">
        <v>1516</v>
      </c>
      <c r="G211" s="16" t="s">
        <v>1517</v>
      </c>
      <c r="H211" s="16" t="s">
        <v>1169</v>
      </c>
      <c r="I211" s="16" t="s">
        <v>2129</v>
      </c>
      <c r="J211" s="17">
        <v>44806</v>
      </c>
      <c r="K211" s="17" t="s">
        <v>1518</v>
      </c>
      <c r="L211" s="17" t="s">
        <v>1209</v>
      </c>
      <c r="M211" s="55" t="str">
        <f>IF(ISNA(VLOOKUP(D211,'[3]Table APOQUA files'!$B:$B,1,FALSE)),"NO","YES")</f>
        <v>YES</v>
      </c>
      <c r="N211" s="55" t="str">
        <f>IF(ISNA(VLOOKUP(D211,'Base PFR table'!K:K,1,FALSE)),"NO","YES")</f>
        <v>NO</v>
      </c>
      <c r="O211" s="35" t="s">
        <v>2858</v>
      </c>
      <c r="P211" s="35" t="s">
        <v>2858</v>
      </c>
    </row>
    <row r="212" spans="1:16" s="18" customFormat="1" ht="15" customHeight="1" x14ac:dyDescent="0.25">
      <c r="A212" s="3"/>
      <c r="B212" s="72" t="s">
        <v>2087</v>
      </c>
      <c r="C212" s="35"/>
      <c r="D212" s="14" t="s">
        <v>582</v>
      </c>
      <c r="E212" s="15" t="s">
        <v>821</v>
      </c>
      <c r="F212" s="22" t="s">
        <v>1519</v>
      </c>
      <c r="G212" s="16" t="s">
        <v>1285</v>
      </c>
      <c r="H212" s="16" t="s">
        <v>1176</v>
      </c>
      <c r="I212" s="16" t="s">
        <v>2129</v>
      </c>
      <c r="J212" s="17">
        <v>44806</v>
      </c>
      <c r="K212" s="17">
        <v>45027</v>
      </c>
      <c r="L212" s="17" t="s">
        <v>1209</v>
      </c>
      <c r="M212" s="55" t="str">
        <f>IF(ISNA(VLOOKUP(D212,'[3]Table APOQUA files'!$B:$B,1,FALSE)),"NO","YES")</f>
        <v>YES</v>
      </c>
      <c r="N212" s="55" t="str">
        <f>IF(ISNA(VLOOKUP(D212,'Base PFR table'!K:K,1,FALSE)),"NO","YES")</f>
        <v>NO</v>
      </c>
      <c r="O212" s="35" t="s">
        <v>2858</v>
      </c>
      <c r="P212" s="35" t="s">
        <v>2858</v>
      </c>
    </row>
    <row r="213" spans="1:16" ht="15" customHeight="1" x14ac:dyDescent="0.25">
      <c r="B213" s="69" t="s">
        <v>2087</v>
      </c>
      <c r="D213" s="14" t="s">
        <v>580</v>
      </c>
      <c r="E213" s="15" t="s">
        <v>822</v>
      </c>
      <c r="F213" s="22" t="s">
        <v>1520</v>
      </c>
      <c r="G213" s="9" t="s">
        <v>1486</v>
      </c>
      <c r="H213" s="9" t="s">
        <v>1172</v>
      </c>
      <c r="I213" s="9" t="s">
        <v>2129</v>
      </c>
      <c r="J213" s="10">
        <v>44806</v>
      </c>
      <c r="K213" s="10">
        <v>45482</v>
      </c>
      <c r="L213" s="10" t="s">
        <v>1207</v>
      </c>
      <c r="M213" s="33" t="str">
        <f>IF(ISNA(VLOOKUP(D213,'[3]Table APOQUA files'!$B:$B,1,FALSE)),"NO","YES")</f>
        <v>YES</v>
      </c>
      <c r="N213" s="33" t="str">
        <f>IF(ISNA(VLOOKUP(D213,'Base PFR table'!K:K,1,FALSE)),"NO","YES")</f>
        <v>NO</v>
      </c>
      <c r="O213" s="35" t="s">
        <v>2858</v>
      </c>
      <c r="P213" s="35" t="s">
        <v>2858</v>
      </c>
    </row>
    <row r="214" spans="1:16" ht="15" customHeight="1" x14ac:dyDescent="0.25">
      <c r="B214" s="69" t="s">
        <v>2087</v>
      </c>
      <c r="D214" s="14" t="s">
        <v>584</v>
      </c>
      <c r="E214" s="15" t="s">
        <v>823</v>
      </c>
      <c r="F214" s="22" t="s">
        <v>1521</v>
      </c>
      <c r="G214" s="9" t="s">
        <v>1342</v>
      </c>
      <c r="H214" s="9" t="s">
        <v>1170</v>
      </c>
      <c r="I214" s="9" t="s">
        <v>2129</v>
      </c>
      <c r="J214" s="10">
        <v>44806</v>
      </c>
      <c r="K214" s="10">
        <v>45482</v>
      </c>
      <c r="L214" s="10" t="s">
        <v>1207</v>
      </c>
      <c r="M214" s="33" t="str">
        <f>IF(ISNA(VLOOKUP(D214,'[3]Table APOQUA files'!$B:$B,1,FALSE)),"NO","YES")</f>
        <v>YES</v>
      </c>
      <c r="N214" s="33" t="str">
        <f>IF(ISNA(VLOOKUP(D214,'Base PFR table'!K:K,1,FALSE)),"NO","YES")</f>
        <v>NO</v>
      </c>
      <c r="O214" s="35" t="s">
        <v>2858</v>
      </c>
      <c r="P214" s="35" t="s">
        <v>2858</v>
      </c>
    </row>
    <row r="215" spans="1:16" ht="15" customHeight="1" x14ac:dyDescent="0.25">
      <c r="B215" s="72" t="s">
        <v>2087</v>
      </c>
      <c r="D215" s="14" t="s">
        <v>577</v>
      </c>
      <c r="E215" s="15" t="s">
        <v>2705</v>
      </c>
      <c r="F215" s="22" t="s">
        <v>1522</v>
      </c>
      <c r="G215" s="16" t="s">
        <v>1411</v>
      </c>
      <c r="H215" s="16" t="s">
        <v>1170</v>
      </c>
      <c r="I215" s="16" t="s">
        <v>2129</v>
      </c>
      <c r="J215" s="10">
        <v>44806</v>
      </c>
      <c r="K215" s="10">
        <v>45482</v>
      </c>
      <c r="L215" s="10" t="s">
        <v>1207</v>
      </c>
      <c r="M215" s="33" t="str">
        <f>IF(ISNA(VLOOKUP(D215,'[3]Table APOQUA files'!$B:$B,1,FALSE)),"NO","YES")</f>
        <v>YES</v>
      </c>
      <c r="N215" s="33" t="str">
        <f>IF(ISNA(VLOOKUP(D215,'Base PFR table'!K:K,1,FALSE)),"NO","YES")</f>
        <v>NO</v>
      </c>
      <c r="O215" s="35" t="s">
        <v>2858</v>
      </c>
      <c r="P215" s="35" t="s">
        <v>2858</v>
      </c>
    </row>
    <row r="216" spans="1:16" ht="15" customHeight="1" x14ac:dyDescent="0.25">
      <c r="B216" s="70" t="s">
        <v>2087</v>
      </c>
      <c r="D216" s="1" t="s">
        <v>565</v>
      </c>
      <c r="E216" s="15" t="s">
        <v>824</v>
      </c>
      <c r="F216" s="20" t="s">
        <v>1523</v>
      </c>
      <c r="G216" s="9" t="s">
        <v>1369</v>
      </c>
      <c r="H216" s="9" t="s">
        <v>1173</v>
      </c>
      <c r="I216" s="9" t="s">
        <v>1186</v>
      </c>
      <c r="J216" s="10">
        <v>44810</v>
      </c>
      <c r="K216" s="10">
        <v>45176</v>
      </c>
      <c r="L216" s="9" t="s">
        <v>1209</v>
      </c>
      <c r="M216" s="33" t="str">
        <f>IF(ISNA(VLOOKUP(D216,'[3]Table APOQUA files'!$B:$B,1,FALSE)),"NO","YES")</f>
        <v>YES</v>
      </c>
      <c r="N216" s="33" t="str">
        <f>IF(ISNA(VLOOKUP(D216,'Base PFR table'!K:K,1,FALSE)),"NO","YES")</f>
        <v>NO</v>
      </c>
      <c r="O216" s="35" t="s">
        <v>2858</v>
      </c>
      <c r="P216" s="35" t="s">
        <v>2858</v>
      </c>
    </row>
    <row r="217" spans="1:16" ht="15" customHeight="1" x14ac:dyDescent="0.25">
      <c r="B217" s="70" t="s">
        <v>2087</v>
      </c>
      <c r="D217" s="1" t="s">
        <v>587</v>
      </c>
      <c r="E217" s="15" t="s">
        <v>825</v>
      </c>
      <c r="F217" s="20" t="s">
        <v>1524</v>
      </c>
      <c r="G217" s="9" t="s">
        <v>1525</v>
      </c>
      <c r="H217" s="9" t="s">
        <v>1176</v>
      </c>
      <c r="I217" s="9" t="s">
        <v>2122</v>
      </c>
      <c r="J217" s="10">
        <v>44886</v>
      </c>
      <c r="K217" s="10">
        <v>45173</v>
      </c>
      <c r="L217" s="9" t="s">
        <v>1209</v>
      </c>
      <c r="M217" s="33" t="str">
        <f>IF(ISNA(VLOOKUP(D217,'[3]Table APOQUA files'!$B:$B,1,FALSE)),"NO","YES")</f>
        <v>YES</v>
      </c>
      <c r="N217" s="33" t="str">
        <f>IF(ISNA(VLOOKUP(D217,'Base PFR table'!K:K,1,FALSE)),"NO","YES")</f>
        <v>NO</v>
      </c>
      <c r="O217" s="35" t="s">
        <v>2858</v>
      </c>
      <c r="P217" s="35" t="s">
        <v>2858</v>
      </c>
    </row>
    <row r="218" spans="1:16" ht="15" customHeight="1" x14ac:dyDescent="0.25">
      <c r="B218" s="70" t="s">
        <v>2087</v>
      </c>
      <c r="D218" s="1" t="s">
        <v>567</v>
      </c>
      <c r="E218" s="15" t="s">
        <v>826</v>
      </c>
      <c r="F218" s="20" t="s">
        <v>1526</v>
      </c>
      <c r="G218" s="9" t="s">
        <v>1228</v>
      </c>
      <c r="H218" s="9" t="s">
        <v>612</v>
      </c>
      <c r="I218" s="9" t="s">
        <v>2127</v>
      </c>
      <c r="J218" s="10">
        <v>44859</v>
      </c>
      <c r="K218" s="10">
        <v>44859</v>
      </c>
      <c r="L218" s="9" t="s">
        <v>1207</v>
      </c>
      <c r="M218" s="33" t="str">
        <f>IF(ISNA(VLOOKUP(D218,'[3]Table APOQUA files'!$B:$B,1,FALSE)),"NO","YES")</f>
        <v>YES</v>
      </c>
      <c r="N218" s="33" t="str">
        <f>IF(ISNA(VLOOKUP(D218,'Base PFR table'!K:K,1,FALSE)),"NO","YES")</f>
        <v>NO</v>
      </c>
      <c r="O218" s="35" t="s">
        <v>2858</v>
      </c>
      <c r="P218" s="35" t="s">
        <v>2858</v>
      </c>
    </row>
    <row r="219" spans="1:16" ht="15" customHeight="1" x14ac:dyDescent="0.25">
      <c r="B219" s="69" t="s">
        <v>2087</v>
      </c>
      <c r="D219" s="1" t="s">
        <v>613</v>
      </c>
      <c r="E219" s="15" t="s">
        <v>614</v>
      </c>
      <c r="F219" s="20" t="s">
        <v>1947</v>
      </c>
      <c r="G219" s="9" t="s">
        <v>1266</v>
      </c>
      <c r="H219" s="9" t="s">
        <v>599</v>
      </c>
      <c r="I219" s="9" t="s">
        <v>2057</v>
      </c>
      <c r="J219" s="10"/>
      <c r="K219" s="9" t="s">
        <v>1948</v>
      </c>
      <c r="L219" s="9" t="s">
        <v>2843</v>
      </c>
      <c r="M219" s="33" t="str">
        <f>IF(ISNA(VLOOKUP(D219,'[3]Table APOQUA files'!$B:$B,1,FALSE)),"NO","YES")</f>
        <v>YES</v>
      </c>
      <c r="N219" s="33" t="str">
        <f>IF(ISNA(VLOOKUP(D219,'Base PFR table'!K:K,1,FALSE)),"NO","YES")</f>
        <v>NO</v>
      </c>
      <c r="O219" s="35" t="s">
        <v>2858</v>
      </c>
      <c r="P219" s="35" t="s">
        <v>2858</v>
      </c>
    </row>
    <row r="220" spans="1:16" ht="15" customHeight="1" x14ac:dyDescent="0.25">
      <c r="B220" s="69" t="s">
        <v>2087</v>
      </c>
      <c r="D220" s="1" t="s">
        <v>615</v>
      </c>
      <c r="E220" s="15" t="s">
        <v>616</v>
      </c>
      <c r="F220" s="20" t="s">
        <v>1949</v>
      </c>
      <c r="G220" s="9" t="s">
        <v>1887</v>
      </c>
      <c r="H220" s="9" t="s">
        <v>612</v>
      </c>
      <c r="I220" s="9" t="s">
        <v>2127</v>
      </c>
      <c r="J220" s="10">
        <v>44917</v>
      </c>
      <c r="K220" s="10">
        <v>45215</v>
      </c>
      <c r="L220" s="9" t="s">
        <v>1487</v>
      </c>
      <c r="M220" s="33" t="str">
        <f>IF(ISNA(VLOOKUP(D220,'[3]Table APOQUA files'!$B:$B,1,FALSE)),"NO","YES")</f>
        <v>YES</v>
      </c>
      <c r="N220" s="33" t="str">
        <f>IF(ISNA(VLOOKUP(D220,'Base PFR table'!K:K,1,FALSE)),"NO","YES")</f>
        <v>NO</v>
      </c>
      <c r="O220" s="35" t="s">
        <v>2858</v>
      </c>
      <c r="P220" s="35" t="s">
        <v>2858</v>
      </c>
    </row>
    <row r="221" spans="1:16" ht="15" customHeight="1" x14ac:dyDescent="0.25">
      <c r="B221" s="72" t="s">
        <v>2087</v>
      </c>
      <c r="D221" s="1" t="s">
        <v>617</v>
      </c>
      <c r="E221" s="15" t="s">
        <v>618</v>
      </c>
      <c r="F221" s="20" t="s">
        <v>1951</v>
      </c>
      <c r="G221" s="9" t="s">
        <v>1403</v>
      </c>
      <c r="H221" s="9" t="s">
        <v>599</v>
      </c>
      <c r="I221" s="9" t="s">
        <v>2057</v>
      </c>
      <c r="J221" s="10"/>
      <c r="K221" s="10">
        <v>45244</v>
      </c>
      <c r="L221" s="9" t="s">
        <v>1207</v>
      </c>
      <c r="M221" s="33" t="str">
        <f>IF(ISNA(VLOOKUP(D221,'[3]Table APOQUA files'!$B:$B,1,FALSE)),"NO","YES")</f>
        <v>YES</v>
      </c>
      <c r="N221" s="33" t="str">
        <f>IF(ISNA(VLOOKUP(D221,'Base PFR table'!K:K,1,FALSE)),"NO","YES")</f>
        <v>NO</v>
      </c>
      <c r="O221" s="35" t="s">
        <v>2858</v>
      </c>
      <c r="P221" s="35" t="s">
        <v>2858</v>
      </c>
    </row>
    <row r="222" spans="1:16" ht="15" customHeight="1" x14ac:dyDescent="0.25">
      <c r="B222" s="72" t="s">
        <v>2087</v>
      </c>
      <c r="D222" s="1" t="s">
        <v>588</v>
      </c>
      <c r="E222" s="15" t="s">
        <v>589</v>
      </c>
      <c r="F222" s="20" t="s">
        <v>1939</v>
      </c>
      <c r="G222" s="9" t="s">
        <v>1799</v>
      </c>
      <c r="H222" s="9" t="s">
        <v>593</v>
      </c>
      <c r="I222" s="9" t="s">
        <v>2122</v>
      </c>
      <c r="J222" s="10">
        <v>44992</v>
      </c>
      <c r="K222" s="10">
        <v>45687</v>
      </c>
      <c r="L222" s="9" t="s">
        <v>1207</v>
      </c>
      <c r="M222" s="33" t="str">
        <f>IF(ISNA(VLOOKUP(D222,'[3]Table APOQUA files'!$B:$B,1,FALSE)),"NO","YES")</f>
        <v>YES</v>
      </c>
      <c r="N222" s="33" t="str">
        <f>IF(ISNA(VLOOKUP(D222,'Base PFR table'!K:K,1,FALSE)),"NO","YES")</f>
        <v>NO</v>
      </c>
      <c r="O222" s="35" t="s">
        <v>2858</v>
      </c>
      <c r="P222" s="35" t="s">
        <v>2858</v>
      </c>
    </row>
    <row r="223" spans="1:16" ht="15" customHeight="1" x14ac:dyDescent="0.25">
      <c r="B223" s="69" t="s">
        <v>2087</v>
      </c>
      <c r="C223" s="67"/>
      <c r="D223" s="1" t="s">
        <v>591</v>
      </c>
      <c r="E223" s="15" t="s">
        <v>592</v>
      </c>
      <c r="F223" s="20" t="s">
        <v>1940</v>
      </c>
      <c r="G223" s="9" t="s">
        <v>1792</v>
      </c>
      <c r="H223" s="9" t="s">
        <v>593</v>
      </c>
      <c r="I223" s="9" t="s">
        <v>2123</v>
      </c>
      <c r="J223" s="10">
        <v>44991</v>
      </c>
      <c r="K223" s="10">
        <v>45229</v>
      </c>
      <c r="L223" s="9" t="s">
        <v>1207</v>
      </c>
      <c r="M223" s="33" t="str">
        <f>IF(ISNA(VLOOKUP(D223,'[3]Table APOQUA files'!$B:$B,1,FALSE)),"NO","YES")</f>
        <v>YES</v>
      </c>
      <c r="N223" s="33" t="str">
        <f>IF(ISNA(VLOOKUP(D223,'Base PFR table'!K:K,1,FALSE)),"NO","YES")</f>
        <v>NO</v>
      </c>
      <c r="O223" s="35" t="s">
        <v>2858</v>
      </c>
      <c r="P223" s="35" t="s">
        <v>2858</v>
      </c>
    </row>
    <row r="224" spans="1:16" ht="15" customHeight="1" x14ac:dyDescent="0.25">
      <c r="B224" s="72" t="s">
        <v>2087</v>
      </c>
      <c r="D224" s="1" t="s">
        <v>619</v>
      </c>
      <c r="E224" s="15" t="s">
        <v>621</v>
      </c>
      <c r="F224" s="20" t="s">
        <v>2764</v>
      </c>
      <c r="G224" s="9" t="s">
        <v>2765</v>
      </c>
      <c r="H224" s="9"/>
      <c r="I224" s="9" t="s">
        <v>2123</v>
      </c>
      <c r="J224" s="10">
        <v>44917</v>
      </c>
      <c r="K224" s="10">
        <v>45497</v>
      </c>
      <c r="L224" s="11" t="s">
        <v>1487</v>
      </c>
      <c r="M224" s="33" t="str">
        <f>IF(ISNA(VLOOKUP(D224,'[3]Table APOQUA files'!$B:$B,1,FALSE)),"NO","YES")</f>
        <v>YES</v>
      </c>
      <c r="N224" s="33" t="str">
        <f>IF(ISNA(VLOOKUP(D224,'Base PFR table'!K:K,1,FALSE)),"NO","YES")</f>
        <v>NO</v>
      </c>
      <c r="O224" s="35" t="s">
        <v>2858</v>
      </c>
      <c r="P224" s="35" t="s">
        <v>2858</v>
      </c>
    </row>
    <row r="225" spans="2:16" ht="15" customHeight="1" x14ac:dyDescent="0.25">
      <c r="B225" s="69" t="s">
        <v>2087</v>
      </c>
      <c r="D225" s="1" t="s">
        <v>594</v>
      </c>
      <c r="E225" s="15" t="s">
        <v>595</v>
      </c>
      <c r="F225" s="20" t="s">
        <v>1941</v>
      </c>
      <c r="G225" s="9" t="s">
        <v>1342</v>
      </c>
      <c r="H225" s="9"/>
      <c r="I225" s="9" t="s">
        <v>2132</v>
      </c>
      <c r="J225" s="10" t="s">
        <v>596</v>
      </c>
      <c r="K225" s="10">
        <v>45403</v>
      </c>
      <c r="L225" s="9" t="s">
        <v>1207</v>
      </c>
      <c r="M225" s="33" t="str">
        <f>IF(ISNA(VLOOKUP(D225,'[3]Table APOQUA files'!$B:$B,1,FALSE)),"NO","YES")</f>
        <v>YES</v>
      </c>
      <c r="N225" s="33" t="str">
        <f>IF(ISNA(VLOOKUP(D225,'Base PFR table'!K:K,1,FALSE)),"NO","YES")</f>
        <v>YES</v>
      </c>
      <c r="O225" s="35" t="s">
        <v>2858</v>
      </c>
      <c r="P225" s="35" t="s">
        <v>2858</v>
      </c>
    </row>
    <row r="226" spans="2:16" ht="15" customHeight="1" x14ac:dyDescent="0.25">
      <c r="B226" s="69" t="s">
        <v>2087</v>
      </c>
      <c r="C226" s="67"/>
      <c r="D226" s="1" t="s">
        <v>620</v>
      </c>
      <c r="E226" s="15" t="s">
        <v>622</v>
      </c>
      <c r="F226" s="20" t="s">
        <v>1952</v>
      </c>
      <c r="G226" s="9" t="s">
        <v>1570</v>
      </c>
      <c r="H226" s="9" t="s">
        <v>608</v>
      </c>
      <c r="I226" s="9" t="s">
        <v>2126</v>
      </c>
      <c r="J226" s="10">
        <v>44917</v>
      </c>
      <c r="K226" s="10">
        <v>45237</v>
      </c>
      <c r="L226" s="9" t="s">
        <v>1207</v>
      </c>
      <c r="M226" s="33" t="str">
        <f>IF(ISNA(VLOOKUP(D226,'[3]Table APOQUA files'!$B:$B,1,FALSE)),"NO","YES")</f>
        <v>YES</v>
      </c>
      <c r="N226" s="33" t="str">
        <f>IF(ISNA(VLOOKUP(D226,'Base PFR table'!K:K,1,FALSE)),"NO","YES")</f>
        <v>NO</v>
      </c>
      <c r="O226" s="35" t="s">
        <v>2858</v>
      </c>
      <c r="P226" s="35" t="s">
        <v>2858</v>
      </c>
    </row>
    <row r="227" spans="2:16" ht="15" customHeight="1" x14ac:dyDescent="0.25">
      <c r="B227" s="69" t="s">
        <v>2087</v>
      </c>
      <c r="D227" s="14" t="s">
        <v>610</v>
      </c>
      <c r="E227" s="15" t="s">
        <v>611</v>
      </c>
      <c r="F227" s="22" t="s">
        <v>1946</v>
      </c>
      <c r="G227" s="9" t="s">
        <v>1429</v>
      </c>
      <c r="H227" s="9"/>
      <c r="I227" s="9" t="s">
        <v>2123</v>
      </c>
      <c r="J227" s="10">
        <v>44917</v>
      </c>
      <c r="K227" s="10">
        <v>45436</v>
      </c>
      <c r="L227" s="9" t="s">
        <v>1207</v>
      </c>
      <c r="M227" s="33" t="str">
        <f>IF(ISNA(VLOOKUP(D227,'[3]Table APOQUA files'!$B:$B,1,FALSE)),"NO","YES")</f>
        <v>YES</v>
      </c>
      <c r="N227" s="33" t="str">
        <f>IF(ISNA(VLOOKUP(D227,'Base PFR table'!K:K,1,FALSE)),"NO","YES")</f>
        <v>NO</v>
      </c>
      <c r="O227" s="35" t="s">
        <v>2858</v>
      </c>
      <c r="P227" s="35" t="s">
        <v>2858</v>
      </c>
    </row>
    <row r="228" spans="2:16" ht="15" customHeight="1" x14ac:dyDescent="0.25">
      <c r="B228" s="69" t="s">
        <v>2087</v>
      </c>
      <c r="D228" s="1" t="s">
        <v>606</v>
      </c>
      <c r="E228" s="15" t="s">
        <v>607</v>
      </c>
      <c r="F228" s="20" t="s">
        <v>2766</v>
      </c>
      <c r="G228" s="9" t="s">
        <v>1411</v>
      </c>
      <c r="H228" s="9" t="s">
        <v>608</v>
      </c>
      <c r="I228" s="9" t="s">
        <v>2126</v>
      </c>
      <c r="J228" s="10">
        <v>44993</v>
      </c>
      <c r="K228" s="10">
        <v>45687</v>
      </c>
      <c r="L228" s="9" t="s">
        <v>1209</v>
      </c>
      <c r="M228" s="33" t="str">
        <f>IF(ISNA(VLOOKUP(D228,'[3]Table APOQUA files'!$B:$B,1,FALSE)),"NO","YES")</f>
        <v>YES</v>
      </c>
      <c r="N228" s="33" t="str">
        <f>IF(ISNA(VLOOKUP(D228,'Base PFR table'!K:K,1,FALSE)),"NO","YES")</f>
        <v>NO</v>
      </c>
      <c r="O228" s="35" t="s">
        <v>2858</v>
      </c>
      <c r="P228" s="35" t="s">
        <v>2858</v>
      </c>
    </row>
    <row r="229" spans="2:16" ht="15" customHeight="1" x14ac:dyDescent="0.25">
      <c r="B229" s="72" t="s">
        <v>2087</v>
      </c>
      <c r="D229" s="1" t="s">
        <v>1194</v>
      </c>
      <c r="E229" s="15" t="s">
        <v>2767</v>
      </c>
      <c r="F229" s="20" t="s">
        <v>1956</v>
      </c>
      <c r="G229" s="9" t="s">
        <v>1283</v>
      </c>
      <c r="H229" s="9" t="s">
        <v>608</v>
      </c>
      <c r="I229" s="9" t="s">
        <v>2123</v>
      </c>
      <c r="J229" s="10"/>
      <c r="K229" s="10">
        <v>45238</v>
      </c>
      <c r="L229" s="9" t="s">
        <v>1207</v>
      </c>
      <c r="M229" s="33" t="str">
        <f>IF(ISNA(VLOOKUP(D229,'[3]Table APOQUA files'!$B:$B,1,FALSE)),"NO","YES")</f>
        <v>YES</v>
      </c>
      <c r="N229" s="33" t="str">
        <f>IF(ISNA(VLOOKUP(D229,'Base PFR table'!K:K,1,FALSE)),"NO","YES")</f>
        <v>NO</v>
      </c>
      <c r="O229" s="35" t="s">
        <v>2858</v>
      </c>
      <c r="P229" s="35" t="s">
        <v>2858</v>
      </c>
    </row>
    <row r="230" spans="2:16" ht="15" customHeight="1" x14ac:dyDescent="0.25">
      <c r="B230" s="69" t="s">
        <v>2087</v>
      </c>
      <c r="D230" s="14" t="s">
        <v>604</v>
      </c>
      <c r="E230" s="15" t="s">
        <v>605</v>
      </c>
      <c r="F230" s="22" t="s">
        <v>1945</v>
      </c>
      <c r="G230" s="9" t="s">
        <v>1411</v>
      </c>
      <c r="H230" s="9" t="s">
        <v>608</v>
      </c>
      <c r="I230" s="9" t="s">
        <v>2126</v>
      </c>
      <c r="J230" s="10">
        <v>44993</v>
      </c>
      <c r="K230" s="10">
        <v>45481</v>
      </c>
      <c r="L230" s="9" t="s">
        <v>2675</v>
      </c>
      <c r="M230" s="33" t="str">
        <f>IF(ISNA(VLOOKUP(D230,'[3]Table APOQUA files'!$B:$B,1,FALSE)),"NO","YES")</f>
        <v>YES</v>
      </c>
      <c r="N230" s="33" t="str">
        <f>IF(ISNA(VLOOKUP(D230,'Base PFR table'!K:K,1,FALSE)),"NO","YES")</f>
        <v>NO</v>
      </c>
      <c r="O230" s="35" t="s">
        <v>2858</v>
      </c>
      <c r="P230" s="35" t="s">
        <v>2858</v>
      </c>
    </row>
    <row r="231" spans="2:16" ht="15" customHeight="1" x14ac:dyDescent="0.25">
      <c r="B231" s="69" t="s">
        <v>2087</v>
      </c>
      <c r="D231" s="14" t="s">
        <v>602</v>
      </c>
      <c r="E231" s="15" t="s">
        <v>603</v>
      </c>
      <c r="F231" s="22" t="s">
        <v>1944</v>
      </c>
      <c r="G231" s="9" t="s">
        <v>1235</v>
      </c>
      <c r="H231" s="9" t="s">
        <v>608</v>
      </c>
      <c r="I231" s="9" t="s">
        <v>2126</v>
      </c>
      <c r="J231" s="10">
        <v>44984</v>
      </c>
      <c r="K231" s="10">
        <v>45481</v>
      </c>
      <c r="L231" s="9" t="s">
        <v>2675</v>
      </c>
      <c r="M231" s="33" t="str">
        <f>IF(ISNA(VLOOKUP(D231,'[3]Table APOQUA files'!$B:$B,1,FALSE)),"NO","YES")</f>
        <v>YES</v>
      </c>
      <c r="N231" s="33" t="str">
        <f>IF(ISNA(VLOOKUP(D231,'Base PFR table'!K:K,1,FALSE)),"NO","YES")</f>
        <v>NO</v>
      </c>
      <c r="O231" s="35" t="s">
        <v>2858</v>
      </c>
      <c r="P231" s="35" t="s">
        <v>2858</v>
      </c>
    </row>
    <row r="232" spans="2:16" ht="15" customHeight="1" x14ac:dyDescent="0.25">
      <c r="B232" s="72" t="s">
        <v>2087</v>
      </c>
      <c r="D232" s="1" t="s">
        <v>1969</v>
      </c>
      <c r="E232" s="65" t="s">
        <v>1970</v>
      </c>
      <c r="F232" s="12" t="s">
        <v>1971</v>
      </c>
      <c r="G232" s="11" t="s">
        <v>1358</v>
      </c>
      <c r="H232" s="9" t="s">
        <v>1171</v>
      </c>
      <c r="I232" s="9" t="s">
        <v>2125</v>
      </c>
      <c r="J232" s="13">
        <v>45023</v>
      </c>
      <c r="K232" s="13">
        <v>45243</v>
      </c>
      <c r="L232" s="11" t="s">
        <v>1207</v>
      </c>
      <c r="M232" s="33" t="str">
        <f>IF(ISNA(VLOOKUP(D232,'[3]Table APOQUA files'!$B:$B,1,FALSE)),"NO","YES")</f>
        <v>YES</v>
      </c>
      <c r="N232" s="33" t="str">
        <f>IF(ISNA(VLOOKUP(D232,'Base PFR table'!K:K,1,FALSE)),"NO","YES")</f>
        <v>NO</v>
      </c>
      <c r="O232" s="35" t="s">
        <v>2858</v>
      </c>
      <c r="P232" s="35" t="s">
        <v>2858</v>
      </c>
    </row>
    <row r="233" spans="2:16" ht="15" customHeight="1" x14ac:dyDescent="0.25">
      <c r="B233" s="72" t="s">
        <v>2087</v>
      </c>
      <c r="D233" s="1" t="s">
        <v>1965</v>
      </c>
      <c r="E233" s="65" t="s">
        <v>1966</v>
      </c>
      <c r="F233" s="12" t="s">
        <v>1967</v>
      </c>
      <c r="G233" s="11" t="s">
        <v>1968</v>
      </c>
      <c r="H233" s="11" t="s">
        <v>593</v>
      </c>
      <c r="I233" s="9" t="s">
        <v>2125</v>
      </c>
      <c r="J233" s="13">
        <v>45023</v>
      </c>
      <c r="K233" s="13">
        <v>45243</v>
      </c>
      <c r="L233" s="11" t="s">
        <v>1207</v>
      </c>
      <c r="M233" s="33" t="str">
        <f>IF(ISNA(VLOOKUP(D233,'[3]Table APOQUA files'!$B:$B,1,FALSE)),"NO","YES")</f>
        <v>YES</v>
      </c>
      <c r="N233" s="33" t="str">
        <f>IF(ISNA(VLOOKUP(D233,'Base PFR table'!K:K,1,FALSE)),"NO","YES")</f>
        <v>NO</v>
      </c>
      <c r="O233" s="35" t="s">
        <v>2858</v>
      </c>
      <c r="P233" s="35" t="s">
        <v>2858</v>
      </c>
    </row>
    <row r="234" spans="2:16" ht="15" customHeight="1" x14ac:dyDescent="0.25">
      <c r="B234" s="69" t="s">
        <v>2087</v>
      </c>
      <c r="C234" s="67"/>
      <c r="D234" s="1" t="s">
        <v>2008</v>
      </c>
      <c r="E234" s="65" t="s">
        <v>2009</v>
      </c>
      <c r="F234" s="12" t="s">
        <v>2010</v>
      </c>
      <c r="G234" s="11" t="s">
        <v>1607</v>
      </c>
      <c r="H234" s="11" t="s">
        <v>593</v>
      </c>
      <c r="I234" s="9" t="s">
        <v>2126</v>
      </c>
      <c r="J234" s="13">
        <v>45117</v>
      </c>
      <c r="K234" s="13">
        <v>45222</v>
      </c>
      <c r="L234" s="11" t="s">
        <v>1207</v>
      </c>
      <c r="M234" s="33" t="str">
        <f>IF(ISNA(VLOOKUP(D234,'[3]Table APOQUA files'!$B:$B,1,FALSE)),"NO","YES")</f>
        <v>NO</v>
      </c>
      <c r="N234" s="33" t="str">
        <f>IF(ISNA(VLOOKUP(D234,'Base PFR table'!K:K,1,FALSE)),"NO","YES")</f>
        <v>YES</v>
      </c>
      <c r="O234" s="35" t="s">
        <v>2858</v>
      </c>
      <c r="P234" s="35" t="s">
        <v>2858</v>
      </c>
    </row>
    <row r="235" spans="2:16" ht="15" customHeight="1" x14ac:dyDescent="0.25">
      <c r="B235" s="72" t="s">
        <v>2087</v>
      </c>
      <c r="C235" s="67"/>
      <c r="D235" s="14" t="s">
        <v>1977</v>
      </c>
      <c r="E235" s="65" t="s">
        <v>1978</v>
      </c>
      <c r="F235" s="66" t="s">
        <v>2485</v>
      </c>
      <c r="G235" s="11" t="s">
        <v>1486</v>
      </c>
      <c r="H235" s="11" t="s">
        <v>1172</v>
      </c>
      <c r="I235" s="11" t="s">
        <v>2129</v>
      </c>
      <c r="J235" s="13">
        <v>45117</v>
      </c>
      <c r="K235" s="13">
        <v>45607</v>
      </c>
      <c r="L235" s="11" t="s">
        <v>1487</v>
      </c>
      <c r="M235" s="33" t="str">
        <f>IF(ISNA(VLOOKUP(D235,'[3]Table APOQUA files'!$B:$B,1,FALSE)),"NO","YES")</f>
        <v>NO</v>
      </c>
      <c r="N235" s="33" t="str">
        <f>IF(ISNA(VLOOKUP(D235,'Base PFR table'!K:K,1,FALSE)),"NO","YES")</f>
        <v>YES</v>
      </c>
      <c r="O235" s="35" t="s">
        <v>2858</v>
      </c>
      <c r="P235" s="35" t="s">
        <v>2858</v>
      </c>
    </row>
    <row r="236" spans="2:16" ht="15" customHeight="1" x14ac:dyDescent="0.25">
      <c r="B236" s="3" t="s">
        <v>2087</v>
      </c>
      <c r="D236" s="60" t="s">
        <v>2012</v>
      </c>
      <c r="E236" s="61" t="s">
        <v>2013</v>
      </c>
      <c r="F236" s="62" t="s">
        <v>2014</v>
      </c>
      <c r="G236" s="63"/>
      <c r="H236" s="63"/>
      <c r="I236" s="63"/>
      <c r="J236" s="64">
        <v>45117</v>
      </c>
      <c r="K236" s="64">
        <v>45359</v>
      </c>
      <c r="L236" s="63" t="s">
        <v>2645</v>
      </c>
      <c r="M236" s="33" t="str">
        <f>IF(ISNA(VLOOKUP(D236,'[3]Table APOQUA files'!$B:$B,1,FALSE)),"NO","YES")</f>
        <v>NO</v>
      </c>
      <c r="N236" s="33" t="str">
        <f>IF(ISNA(VLOOKUP(D236,'Base PFR table'!K:K,1,FALSE)),"NO","YES")</f>
        <v>NO</v>
      </c>
      <c r="O236" s="3" t="s">
        <v>2857</v>
      </c>
      <c r="P236" s="3" t="s">
        <v>2857</v>
      </c>
    </row>
    <row r="237" spans="2:16" ht="15" customHeight="1" x14ac:dyDescent="0.25">
      <c r="B237" s="69" t="s">
        <v>2087</v>
      </c>
      <c r="D237" s="1" t="s">
        <v>2005</v>
      </c>
      <c r="E237" s="65" t="s">
        <v>2006</v>
      </c>
      <c r="F237" s="12" t="s">
        <v>2007</v>
      </c>
      <c r="G237" s="11" t="s">
        <v>2666</v>
      </c>
      <c r="H237" s="11" t="s">
        <v>1174</v>
      </c>
      <c r="I237" s="11" t="s">
        <v>2667</v>
      </c>
      <c r="J237" s="13">
        <v>45117</v>
      </c>
      <c r="K237" s="13">
        <v>45245</v>
      </c>
      <c r="L237" s="11" t="s">
        <v>1207</v>
      </c>
      <c r="M237" s="33" t="str">
        <f>IF(ISNA(VLOOKUP(D237,'[3]Table APOQUA files'!$B:$B,1,FALSE)),"NO","YES")</f>
        <v>NO</v>
      </c>
      <c r="N237" s="33" t="str">
        <f>IF(ISNA(VLOOKUP(D237,'Base PFR table'!K:K,1,FALSE)),"NO","YES")</f>
        <v>YES</v>
      </c>
      <c r="O237" s="35" t="s">
        <v>2858</v>
      </c>
      <c r="P237" s="35" t="s">
        <v>2858</v>
      </c>
    </row>
    <row r="238" spans="2:16" ht="15" customHeight="1" x14ac:dyDescent="0.25">
      <c r="B238" s="72" t="s">
        <v>2087</v>
      </c>
      <c r="D238" s="1" t="s">
        <v>2011</v>
      </c>
      <c r="E238" s="65" t="s">
        <v>2769</v>
      </c>
      <c r="F238" s="12" t="s">
        <v>2768</v>
      </c>
      <c r="G238" s="11" t="s">
        <v>1914</v>
      </c>
      <c r="H238" s="11" t="s">
        <v>1173</v>
      </c>
      <c r="I238" s="11" t="s">
        <v>1186</v>
      </c>
      <c r="J238" s="13">
        <v>45117</v>
      </c>
      <c r="K238" s="13">
        <v>45362</v>
      </c>
      <c r="L238" s="11" t="s">
        <v>1487</v>
      </c>
      <c r="M238" s="33" t="str">
        <f>IF(ISNA(VLOOKUP(D238,'[3]Table APOQUA files'!$B:$B,1,FALSE)),"NO","YES")</f>
        <v>NO</v>
      </c>
      <c r="N238" s="33" t="str">
        <f>IF(ISNA(VLOOKUP(D238,'Base PFR table'!K:K,1,FALSE)),"NO","YES")</f>
        <v>YES</v>
      </c>
      <c r="O238" s="35" t="s">
        <v>2858</v>
      </c>
      <c r="P238" s="35" t="s">
        <v>2858</v>
      </c>
    </row>
    <row r="239" spans="2:16" ht="15" customHeight="1" x14ac:dyDescent="0.25">
      <c r="B239" s="69" t="s">
        <v>2087</v>
      </c>
      <c r="C239" s="67"/>
      <c r="D239" s="1" t="s">
        <v>2015</v>
      </c>
      <c r="E239" s="65" t="s">
        <v>2018</v>
      </c>
      <c r="F239" s="12" t="s">
        <v>2019</v>
      </c>
      <c r="G239" s="11" t="s">
        <v>1220</v>
      </c>
      <c r="H239" s="11" t="s">
        <v>1170</v>
      </c>
      <c r="I239" s="9" t="s">
        <v>2122</v>
      </c>
      <c r="J239" s="13">
        <v>45124</v>
      </c>
      <c r="K239" s="13">
        <v>45348</v>
      </c>
      <c r="L239" s="11" t="s">
        <v>2675</v>
      </c>
      <c r="M239" s="33" t="str">
        <f>IF(ISNA(VLOOKUP(D239,'[3]Table APOQUA files'!$B:$B,1,FALSE)),"NO","YES")</f>
        <v>NO</v>
      </c>
      <c r="N239" s="33" t="str">
        <f>IF(ISNA(VLOOKUP(D239,'Base PFR table'!K:K,1,FALSE)),"NO","YES")</f>
        <v>YES</v>
      </c>
      <c r="O239" s="35" t="s">
        <v>2858</v>
      </c>
      <c r="P239" s="35" t="s">
        <v>2858</v>
      </c>
    </row>
    <row r="240" spans="2:16" ht="15" customHeight="1" x14ac:dyDescent="0.25">
      <c r="B240" s="72" t="s">
        <v>2087</v>
      </c>
      <c r="D240" s="1" t="s">
        <v>2016</v>
      </c>
      <c r="E240" s="65" t="s">
        <v>2020</v>
      </c>
      <c r="F240" s="12" t="s">
        <v>2021</v>
      </c>
      <c r="G240" s="11" t="s">
        <v>1799</v>
      </c>
      <c r="H240" s="11" t="s">
        <v>608</v>
      </c>
      <c r="I240" s="11" t="s">
        <v>2123</v>
      </c>
      <c r="J240" s="13">
        <v>45124</v>
      </c>
      <c r="K240" s="13">
        <v>45628</v>
      </c>
      <c r="L240" s="11" t="s">
        <v>2686</v>
      </c>
      <c r="M240" s="33" t="str">
        <f>IF(ISNA(VLOOKUP(D240,'[3]Table APOQUA files'!$B:$B,1,FALSE)),"NO","YES")</f>
        <v>NO</v>
      </c>
      <c r="N240" s="33" t="str">
        <f>IF(ISNA(VLOOKUP(D240,'Base PFR table'!K:K,1,FALSE)),"NO","YES")</f>
        <v>YES</v>
      </c>
      <c r="O240" s="35" t="s">
        <v>2858</v>
      </c>
      <c r="P240" s="35" t="s">
        <v>2858</v>
      </c>
    </row>
    <row r="241" spans="2:17" ht="15" customHeight="1" x14ac:dyDescent="0.25">
      <c r="B241" s="72" t="s">
        <v>2087</v>
      </c>
      <c r="D241" s="1" t="s">
        <v>2017</v>
      </c>
      <c r="E241" s="91" t="s">
        <v>2022</v>
      </c>
      <c r="F241" s="12" t="s">
        <v>2023</v>
      </c>
      <c r="G241" s="11" t="s">
        <v>2043</v>
      </c>
      <c r="H241" s="11" t="s">
        <v>593</v>
      </c>
      <c r="I241" s="9" t="s">
        <v>2496</v>
      </c>
      <c r="J241" s="13">
        <v>45124</v>
      </c>
      <c r="K241" s="13">
        <v>45538</v>
      </c>
      <c r="L241" s="11" t="s">
        <v>2675</v>
      </c>
      <c r="M241" s="33" t="str">
        <f>IF(ISNA(VLOOKUP(D241,'[3]Table APOQUA files'!$B:$B,1,FALSE)),"NO","YES")</f>
        <v>NO</v>
      </c>
      <c r="N241" s="33" t="str">
        <f>IF(ISNA(VLOOKUP(D241,'Base PFR table'!K:K,1,FALSE)),"NO","YES")</f>
        <v>YES</v>
      </c>
      <c r="O241" s="35" t="s">
        <v>2858</v>
      </c>
      <c r="P241" s="35" t="s">
        <v>2858</v>
      </c>
    </row>
    <row r="242" spans="2:17" ht="14.25" customHeight="1" x14ac:dyDescent="0.25">
      <c r="B242" s="69" t="s">
        <v>2087</v>
      </c>
      <c r="D242" s="1" t="s">
        <v>2024</v>
      </c>
      <c r="E242" s="65" t="s">
        <v>2025</v>
      </c>
      <c r="F242" s="12" t="s">
        <v>2026</v>
      </c>
      <c r="G242" s="11" t="s">
        <v>1242</v>
      </c>
      <c r="H242" s="11" t="s">
        <v>1174</v>
      </c>
      <c r="I242" s="11" t="s">
        <v>2667</v>
      </c>
      <c r="J242" s="13">
        <v>45124</v>
      </c>
      <c r="K242" s="13">
        <v>45488</v>
      </c>
      <c r="L242" s="11" t="s">
        <v>1487</v>
      </c>
      <c r="M242" s="33" t="str">
        <f>IF(ISNA(VLOOKUP(D242,'[3]Table APOQUA files'!$B:$B,1,FALSE)),"NO","YES")</f>
        <v>NO</v>
      </c>
      <c r="N242" s="33" t="str">
        <f>IF(ISNA(VLOOKUP(D242,'Base PFR table'!K:K,1,FALSE)),"NO","YES")</f>
        <v>NO</v>
      </c>
      <c r="O242" s="35" t="s">
        <v>2858</v>
      </c>
      <c r="P242" s="35" t="s">
        <v>2858</v>
      </c>
    </row>
    <row r="243" spans="2:17" ht="26.25" customHeight="1" x14ac:dyDescent="0.25">
      <c r="B243" s="72" t="s">
        <v>2087</v>
      </c>
      <c r="C243" s="67"/>
      <c r="D243" s="14" t="s">
        <v>1979</v>
      </c>
      <c r="E243" s="65" t="s">
        <v>1980</v>
      </c>
      <c r="F243" s="12" t="s">
        <v>1981</v>
      </c>
      <c r="G243" s="11" t="s">
        <v>1982</v>
      </c>
      <c r="H243" s="11" t="e">
        <v>#N/A</v>
      </c>
      <c r="I243" s="11">
        <v>0</v>
      </c>
      <c r="J243" s="13"/>
      <c r="K243" s="13">
        <v>45607</v>
      </c>
      <c r="L243" s="11" t="s">
        <v>1207</v>
      </c>
      <c r="M243" s="33" t="str">
        <f>IF(ISNA(VLOOKUP(D243,'[3]Table APOQUA files'!$B:$B,1,FALSE)),"NO","YES")</f>
        <v>NO</v>
      </c>
      <c r="N243" s="33" t="str">
        <f>IF(ISNA(VLOOKUP(D243,'Base PFR table'!K:K,1,FALSE)),"NO","YES")</f>
        <v>YES</v>
      </c>
      <c r="O243" s="35" t="s">
        <v>2858</v>
      </c>
      <c r="P243" s="35" t="s">
        <v>2858</v>
      </c>
    </row>
    <row r="244" spans="2:17" ht="15" customHeight="1" x14ac:dyDescent="0.25">
      <c r="B244" s="69" t="s">
        <v>2087</v>
      </c>
      <c r="D244" s="1" t="s">
        <v>1986</v>
      </c>
      <c r="E244" s="65" t="s">
        <v>1987</v>
      </c>
      <c r="F244" s="12" t="s">
        <v>1988</v>
      </c>
      <c r="G244" s="11" t="s">
        <v>1904</v>
      </c>
      <c r="H244" s="11" t="s">
        <v>1177</v>
      </c>
      <c r="I244" s="11" t="s">
        <v>2123</v>
      </c>
      <c r="J244" s="13">
        <v>45098</v>
      </c>
      <c r="K244" s="13">
        <v>45215</v>
      </c>
      <c r="L244" s="11" t="s">
        <v>1207</v>
      </c>
      <c r="M244" s="33" t="str">
        <f>IF(ISNA(VLOOKUP(D244,'[3]Table APOQUA files'!$B:$B,1,FALSE)),"NO","YES")</f>
        <v>NO</v>
      </c>
      <c r="N244" s="33" t="str">
        <f>IF(ISNA(VLOOKUP(D244,'Base PFR table'!K:K,1,FALSE)),"NO","YES")</f>
        <v>NO</v>
      </c>
      <c r="O244" s="35" t="s">
        <v>2858</v>
      </c>
      <c r="P244" s="35" t="s">
        <v>2858</v>
      </c>
    </row>
    <row r="245" spans="2:17" ht="15" customHeight="1" x14ac:dyDescent="0.25">
      <c r="B245" s="69" t="s">
        <v>2087</v>
      </c>
      <c r="D245" s="1" t="s">
        <v>1983</v>
      </c>
      <c r="E245" s="65" t="s">
        <v>1984</v>
      </c>
      <c r="F245" s="12" t="s">
        <v>1985</v>
      </c>
      <c r="G245" s="11" t="s">
        <v>1982</v>
      </c>
      <c r="H245" s="11" t="s">
        <v>1177</v>
      </c>
      <c r="I245" s="11" t="s">
        <v>2122</v>
      </c>
      <c r="J245" s="13">
        <v>45162</v>
      </c>
      <c r="K245" s="13">
        <v>45491</v>
      </c>
      <c r="L245" s="11" t="s">
        <v>1207</v>
      </c>
      <c r="M245" s="33" t="str">
        <f>IF(ISNA(VLOOKUP(D245,'[3]Table APOQUA files'!$B:$B,1,FALSE)),"NO","YES")</f>
        <v>NO</v>
      </c>
      <c r="N245" s="33" t="str">
        <f>IF(ISNA(VLOOKUP(D245,'Base PFR table'!K:K,1,FALSE)),"NO","YES")</f>
        <v>YES</v>
      </c>
      <c r="O245" s="35" t="s">
        <v>2858</v>
      </c>
      <c r="P245" s="35" t="s">
        <v>2858</v>
      </c>
    </row>
    <row r="246" spans="2:17" ht="15" customHeight="1" x14ac:dyDescent="0.25">
      <c r="B246" s="69" t="s">
        <v>2087</v>
      </c>
      <c r="D246" s="1" t="s">
        <v>1989</v>
      </c>
      <c r="E246" s="91" t="s">
        <v>1990</v>
      </c>
      <c r="F246" s="12" t="s">
        <v>1991</v>
      </c>
      <c r="G246" s="11" t="s">
        <v>1992</v>
      </c>
      <c r="H246" s="11"/>
      <c r="I246" s="11"/>
      <c r="J246" s="13">
        <v>45162</v>
      </c>
      <c r="K246" s="13">
        <v>45219</v>
      </c>
      <c r="L246" s="11" t="s">
        <v>1207</v>
      </c>
      <c r="M246" s="33" t="str">
        <f>IF(ISNA(VLOOKUP(D246,'[3]Table APOQUA files'!$B:$B,1,FALSE)),"NO","YES")</f>
        <v>NO</v>
      </c>
      <c r="N246" s="33" t="str">
        <f>IF(ISNA(VLOOKUP(D246,'Base PFR table'!K:K,1,FALSE)),"NO","YES")</f>
        <v>YES</v>
      </c>
      <c r="O246" s="35" t="s">
        <v>2858</v>
      </c>
      <c r="P246" s="35" t="s">
        <v>2858</v>
      </c>
    </row>
    <row r="247" spans="2:17" ht="15" customHeight="1" x14ac:dyDescent="0.25">
      <c r="B247" s="69" t="s">
        <v>2087</v>
      </c>
      <c r="D247" s="1" t="s">
        <v>1993</v>
      </c>
      <c r="E247" s="65" t="s">
        <v>1996</v>
      </c>
      <c r="F247" s="12" t="s">
        <v>1997</v>
      </c>
      <c r="G247" s="11" t="s">
        <v>1992</v>
      </c>
      <c r="H247" s="11"/>
      <c r="I247" s="11" t="s">
        <v>2654</v>
      </c>
      <c r="J247" s="13">
        <v>45162</v>
      </c>
      <c r="K247" s="13">
        <v>45162</v>
      </c>
      <c r="L247" s="11" t="s">
        <v>1209</v>
      </c>
      <c r="M247" s="33" t="str">
        <f>IF(ISNA(VLOOKUP(D247,'[3]Table APOQUA files'!$B:$B,1,FALSE)),"NO","YES")</f>
        <v>NO</v>
      </c>
      <c r="N247" s="33" t="str">
        <f>IF(ISNA(VLOOKUP(D247,'Base PFR table'!K:K,1,FALSE)),"NO","YES")</f>
        <v>YES</v>
      </c>
      <c r="O247" s="35" t="s">
        <v>2858</v>
      </c>
      <c r="P247" s="35" t="s">
        <v>2858</v>
      </c>
    </row>
    <row r="248" spans="2:17" ht="15" customHeight="1" x14ac:dyDescent="0.25">
      <c r="B248" s="69" t="s">
        <v>2087</v>
      </c>
      <c r="D248" s="1" t="s">
        <v>1994</v>
      </c>
      <c r="E248" s="65" t="s">
        <v>1998</v>
      </c>
      <c r="F248" s="12" t="s">
        <v>1999</v>
      </c>
      <c r="G248" s="11" t="s">
        <v>1992</v>
      </c>
      <c r="H248" s="11"/>
      <c r="I248" s="11" t="s">
        <v>2654</v>
      </c>
      <c r="J248" s="13">
        <v>45162</v>
      </c>
      <c r="K248" s="13">
        <v>45411</v>
      </c>
      <c r="L248" s="11" t="s">
        <v>1207</v>
      </c>
      <c r="M248" s="33" t="str">
        <f>IF(ISNA(VLOOKUP(D248,'[3]Table APOQUA files'!$B:$B,1,FALSE)),"NO","YES")</f>
        <v>NO</v>
      </c>
      <c r="N248" s="33" t="str">
        <f>IF(ISNA(VLOOKUP(D248,'Base PFR table'!K:K,1,FALSE)),"NO","YES")</f>
        <v>YES</v>
      </c>
      <c r="O248" s="35" t="s">
        <v>2858</v>
      </c>
      <c r="P248" s="35" t="s">
        <v>2858</v>
      </c>
    </row>
    <row r="249" spans="2:17" ht="15" customHeight="1" x14ac:dyDescent="0.25">
      <c r="B249" s="72" t="s">
        <v>2087</v>
      </c>
      <c r="D249" s="1" t="s">
        <v>1995</v>
      </c>
      <c r="E249" s="65" t="s">
        <v>2000</v>
      </c>
      <c r="F249" s="12" t="s">
        <v>2001</v>
      </c>
      <c r="G249" s="11" t="s">
        <v>1292</v>
      </c>
      <c r="H249" s="11" t="s">
        <v>1176</v>
      </c>
      <c r="I249" s="11" t="s">
        <v>2657</v>
      </c>
      <c r="J249" s="13">
        <v>45162</v>
      </c>
      <c r="K249" s="13">
        <v>45497</v>
      </c>
      <c r="L249" s="11" t="s">
        <v>1207</v>
      </c>
      <c r="M249" s="33" t="str">
        <f>IF(ISNA(VLOOKUP(D249,'[3]Table APOQUA files'!$B:$B,1,FALSE)),"NO","YES")</f>
        <v>NO</v>
      </c>
      <c r="N249" s="33" t="str">
        <f>IF(ISNA(VLOOKUP(D249,'Base PFR table'!K:K,1,FALSE)),"NO","YES")</f>
        <v>YES</v>
      </c>
      <c r="O249" s="35" t="s">
        <v>2858</v>
      </c>
      <c r="P249" s="35" t="s">
        <v>2858</v>
      </c>
    </row>
    <row r="250" spans="2:17" ht="15" customHeight="1" x14ac:dyDescent="0.25">
      <c r="B250" s="69" t="s">
        <v>2087</v>
      </c>
      <c r="D250" s="1" t="s">
        <v>2002</v>
      </c>
      <c r="E250" s="65" t="s">
        <v>2003</v>
      </c>
      <c r="F250" s="12" t="s">
        <v>2004</v>
      </c>
      <c r="G250" s="11" t="s">
        <v>2653</v>
      </c>
      <c r="H250" s="11"/>
      <c r="I250" s="11" t="s">
        <v>2654</v>
      </c>
      <c r="J250" s="13">
        <v>45162</v>
      </c>
      <c r="K250" s="13">
        <v>45484</v>
      </c>
      <c r="L250" s="11" t="s">
        <v>1207</v>
      </c>
      <c r="M250" s="33" t="str">
        <f>IF(ISNA(VLOOKUP(D250,'[3]Table APOQUA files'!$B:$B,1,FALSE)),"NO","YES")</f>
        <v>NO</v>
      </c>
      <c r="N250" s="33" t="str">
        <f>IF(ISNA(VLOOKUP(D250,'Base PFR table'!K:K,1,FALSE)),"NO","YES")</f>
        <v>YES</v>
      </c>
      <c r="O250" s="35" t="s">
        <v>2858</v>
      </c>
      <c r="P250" s="35" t="s">
        <v>2858</v>
      </c>
    </row>
    <row r="251" spans="2:17" ht="15" customHeight="1" x14ac:dyDescent="0.25">
      <c r="B251" s="72" t="s">
        <v>2087</v>
      </c>
      <c r="D251" s="14" t="s">
        <v>2036</v>
      </c>
      <c r="E251" s="65" t="s">
        <v>2770</v>
      </c>
      <c r="F251" s="12" t="s">
        <v>2771</v>
      </c>
      <c r="G251" s="11" t="s">
        <v>1226</v>
      </c>
      <c r="H251" s="9" t="s">
        <v>612</v>
      </c>
      <c r="I251" s="9" t="s">
        <v>2127</v>
      </c>
      <c r="J251" s="13">
        <v>45181</v>
      </c>
      <c r="K251" s="13">
        <v>45631</v>
      </c>
      <c r="L251" s="11" t="s">
        <v>1209</v>
      </c>
      <c r="M251" s="33" t="str">
        <f>IF(ISNA(VLOOKUP(D251,'[3]Table APOQUA files'!$B:$B,1,FALSE)),"NO","YES")</f>
        <v>NO</v>
      </c>
      <c r="N251" s="33" t="str">
        <f>IF(ISNA(VLOOKUP(D251,'Base PFR table'!K:K,1,FALSE)),"NO","YES")</f>
        <v>NO</v>
      </c>
      <c r="O251" s="35" t="s">
        <v>2858</v>
      </c>
      <c r="P251" s="35" t="s">
        <v>2858</v>
      </c>
    </row>
    <row r="252" spans="2:17" ht="15" customHeight="1" x14ac:dyDescent="0.25">
      <c r="B252" s="72" t="s">
        <v>2087</v>
      </c>
      <c r="D252" s="14" t="s">
        <v>2037</v>
      </c>
      <c r="E252" s="65" t="s">
        <v>2772</v>
      </c>
      <c r="F252" s="12" t="s">
        <v>2773</v>
      </c>
      <c r="G252" s="11" t="s">
        <v>1226</v>
      </c>
      <c r="H252" s="9" t="s">
        <v>612</v>
      </c>
      <c r="I252" s="9" t="s">
        <v>2127</v>
      </c>
      <c r="J252" s="13">
        <v>45181</v>
      </c>
      <c r="K252" s="13">
        <v>45629</v>
      </c>
      <c r="L252" s="11" t="s">
        <v>1487</v>
      </c>
      <c r="M252" s="33" t="str">
        <f>IF(ISNA(VLOOKUP(D252,'[3]Table APOQUA files'!$B:$B,1,FALSE)),"NO","YES")</f>
        <v>NO</v>
      </c>
      <c r="N252" s="33" t="str">
        <f>IF(ISNA(VLOOKUP(D252,'Base PFR table'!K:K,1,FALSE)),"NO","YES")</f>
        <v>NO</v>
      </c>
      <c r="O252" s="35" t="s">
        <v>2858</v>
      </c>
      <c r="P252" s="35" t="s">
        <v>2858</v>
      </c>
    </row>
    <row r="253" spans="2:17" ht="15" customHeight="1" x14ac:dyDescent="0.25">
      <c r="B253" s="72" t="s">
        <v>2087</v>
      </c>
      <c r="D253" s="14" t="s">
        <v>2038</v>
      </c>
      <c r="E253" s="65" t="s">
        <v>2774</v>
      </c>
      <c r="F253" s="12" t="s">
        <v>2775</v>
      </c>
      <c r="G253" s="11" t="s">
        <v>2776</v>
      </c>
      <c r="H253" s="9" t="s">
        <v>612</v>
      </c>
      <c r="I253" s="9" t="s">
        <v>2127</v>
      </c>
      <c r="J253" s="13">
        <v>45181</v>
      </c>
      <c r="K253" s="13">
        <v>45636</v>
      </c>
      <c r="L253" s="11" t="s">
        <v>1487</v>
      </c>
      <c r="M253" s="33" t="str">
        <f>IF(ISNA(VLOOKUP(D253,'[3]Table APOQUA files'!$B:$B,1,FALSE)),"NO","YES")</f>
        <v>NO</v>
      </c>
      <c r="N253" s="33" t="str">
        <f>IF(ISNA(VLOOKUP(D253,'Base PFR table'!K:K,1,FALSE)),"NO","YES")</f>
        <v>NO</v>
      </c>
      <c r="O253" s="35" t="s">
        <v>2858</v>
      </c>
      <c r="P253" s="35" t="s">
        <v>2858</v>
      </c>
    </row>
    <row r="254" spans="2:17" ht="15" customHeight="1" x14ac:dyDescent="0.25">
      <c r="B254" s="72" t="s">
        <v>2087</v>
      </c>
      <c r="D254" s="14" t="s">
        <v>2039</v>
      </c>
      <c r="E254" s="65" t="s">
        <v>2777</v>
      </c>
      <c r="F254" s="12" t="s">
        <v>2778</v>
      </c>
      <c r="G254" s="11" t="s">
        <v>1425</v>
      </c>
      <c r="H254" s="9" t="s">
        <v>612</v>
      </c>
      <c r="I254" s="9" t="s">
        <v>2127</v>
      </c>
      <c r="J254" s="13">
        <v>45181</v>
      </c>
      <c r="K254" s="13">
        <v>45629</v>
      </c>
      <c r="L254" s="11" t="s">
        <v>1487</v>
      </c>
      <c r="M254" s="33" t="str">
        <f>IF(ISNA(VLOOKUP(D254,'[3]Table APOQUA files'!$B:$B,1,FALSE)),"NO","YES")</f>
        <v>NO</v>
      </c>
      <c r="N254" s="33" t="str">
        <f>IF(ISNA(VLOOKUP(D254,'Base PFR table'!K:K,1,FALSE)),"NO","YES")</f>
        <v>NO</v>
      </c>
      <c r="O254" s="35" t="s">
        <v>2858</v>
      </c>
      <c r="P254" s="35" t="s">
        <v>2858</v>
      </c>
    </row>
    <row r="255" spans="2:17" ht="24.75" customHeight="1" x14ac:dyDescent="0.25">
      <c r="B255" s="69" t="s">
        <v>2087</v>
      </c>
      <c r="C255" s="67"/>
      <c r="D255" s="1" t="s">
        <v>2040</v>
      </c>
      <c r="E255" s="65" t="s">
        <v>2500</v>
      </c>
      <c r="F255" s="12" t="s">
        <v>2501</v>
      </c>
      <c r="G255" s="11" t="s">
        <v>1434</v>
      </c>
      <c r="H255" s="11" t="s">
        <v>1174</v>
      </c>
      <c r="I255" s="11" t="s">
        <v>2132</v>
      </c>
      <c r="J255" s="13">
        <v>45181</v>
      </c>
      <c r="K255" s="13">
        <v>45687</v>
      </c>
      <c r="L255" s="11" t="s">
        <v>1207</v>
      </c>
      <c r="M255" s="33" t="str">
        <f>IF(ISNA(VLOOKUP(D255,'[3]Table APOQUA files'!$B:$B,1,FALSE)),"NO","YES")</f>
        <v>NO</v>
      </c>
      <c r="N255" s="33" t="str">
        <f>IF(ISNA(VLOOKUP(D255,'Base PFR table'!K:K,1,FALSE)),"NO","YES")</f>
        <v>YES</v>
      </c>
      <c r="O255" s="35" t="s">
        <v>2803</v>
      </c>
      <c r="P255" s="35" t="s">
        <v>2803</v>
      </c>
      <c r="Q255" s="3" t="s">
        <v>2867</v>
      </c>
    </row>
    <row r="256" spans="2:17" ht="15" customHeight="1" x14ac:dyDescent="0.25">
      <c r="B256" s="72" t="s">
        <v>2087</v>
      </c>
      <c r="D256" s="1" t="s">
        <v>2041</v>
      </c>
      <c r="E256" s="65" t="s">
        <v>2780</v>
      </c>
      <c r="F256" s="12" t="s">
        <v>2779</v>
      </c>
      <c r="G256" s="11" t="s">
        <v>1206</v>
      </c>
      <c r="H256" s="11" t="s">
        <v>1174</v>
      </c>
      <c r="I256" s="11" t="s">
        <v>2132</v>
      </c>
      <c r="J256" s="13">
        <v>45181</v>
      </c>
      <c r="K256" s="13">
        <v>45187</v>
      </c>
      <c r="L256" s="11" t="s">
        <v>2843</v>
      </c>
      <c r="M256" s="33" t="str">
        <f>IF(ISNA(VLOOKUP(D256,'[3]Table APOQUA files'!$B:$B,1,FALSE)),"NO","YES")</f>
        <v>NO</v>
      </c>
      <c r="N256" s="33" t="str">
        <f>IF(ISNA(VLOOKUP(D256,'Base PFR table'!K:K,1,FALSE)),"NO","YES")</f>
        <v>YES</v>
      </c>
      <c r="O256" s="35" t="s">
        <v>2858</v>
      </c>
      <c r="P256" s="35" t="s">
        <v>2858</v>
      </c>
    </row>
    <row r="257" spans="2:99" ht="15" customHeight="1" x14ac:dyDescent="0.25">
      <c r="B257" s="69" t="s">
        <v>2087</v>
      </c>
      <c r="C257" s="38"/>
      <c r="D257" s="1" t="s">
        <v>2042</v>
      </c>
      <c r="E257" s="91" t="s">
        <v>2513</v>
      </c>
      <c r="F257" s="12" t="s">
        <v>2512</v>
      </c>
      <c r="G257" s="11" t="s">
        <v>1206</v>
      </c>
      <c r="H257" s="11" t="s">
        <v>593</v>
      </c>
      <c r="I257" s="9" t="s">
        <v>2496</v>
      </c>
      <c r="J257" s="13">
        <v>45181</v>
      </c>
      <c r="K257" s="13">
        <v>45237</v>
      </c>
      <c r="L257" s="11" t="s">
        <v>1209</v>
      </c>
      <c r="M257" s="33" t="str">
        <f>IF(ISNA(VLOOKUP(D257,'[3]Table APOQUA files'!$B:$B,1,FALSE)),"NO","YES")</f>
        <v>NO</v>
      </c>
      <c r="N257" s="33" t="str">
        <f>IF(ISNA(VLOOKUP(D257,'Base PFR table'!K:K,1,FALSE)),"NO","YES")</f>
        <v>NO</v>
      </c>
      <c r="O257" s="35" t="s">
        <v>2858</v>
      </c>
      <c r="P257" s="35" t="s">
        <v>2858</v>
      </c>
    </row>
    <row r="258" spans="2:99" ht="15" customHeight="1" x14ac:dyDescent="0.25">
      <c r="B258" s="72" t="s">
        <v>2087</v>
      </c>
      <c r="D258" s="1" t="s">
        <v>2028</v>
      </c>
      <c r="E258" s="65" t="s">
        <v>2029</v>
      </c>
      <c r="F258" s="12" t="s">
        <v>2781</v>
      </c>
      <c r="G258" s="11" t="s">
        <v>1240</v>
      </c>
      <c r="H258" s="9" t="s">
        <v>1178</v>
      </c>
      <c r="I258" s="11" t="s">
        <v>1186</v>
      </c>
      <c r="J258" s="13">
        <v>45181</v>
      </c>
      <c r="K258" s="13">
        <v>45350</v>
      </c>
      <c r="L258" s="11" t="s">
        <v>1207</v>
      </c>
      <c r="M258" s="33" t="str">
        <f>IF(ISNA(VLOOKUP(D258,'[3]Table APOQUA files'!$B:$B,1,FALSE)),"NO","YES")</f>
        <v>NO</v>
      </c>
      <c r="N258" s="33" t="str">
        <f>IF(ISNA(VLOOKUP(D258,'Base PFR table'!K:K,1,FALSE)),"NO","YES")</f>
        <v>NO</v>
      </c>
      <c r="O258" s="35" t="s">
        <v>2870</v>
      </c>
      <c r="P258" s="35" t="s">
        <v>2865</v>
      </c>
      <c r="Q258" s="3" t="s">
        <v>2867</v>
      </c>
      <c r="R258" s="3" t="s">
        <v>2873</v>
      </c>
    </row>
    <row r="259" spans="2:99" ht="15" customHeight="1" x14ac:dyDescent="0.25">
      <c r="B259" s="72" t="s">
        <v>2087</v>
      </c>
      <c r="C259" s="38"/>
      <c r="D259" s="1" t="s">
        <v>2030</v>
      </c>
      <c r="E259" s="65" t="s">
        <v>2031</v>
      </c>
      <c r="F259" s="12" t="s">
        <v>2032</v>
      </c>
      <c r="G259" s="11" t="s">
        <v>1206</v>
      </c>
      <c r="H259" s="11" t="s">
        <v>593</v>
      </c>
      <c r="I259" s="9" t="s">
        <v>2496</v>
      </c>
      <c r="J259" s="13"/>
      <c r="K259" s="13">
        <v>45217</v>
      </c>
      <c r="L259" s="11" t="s">
        <v>1207</v>
      </c>
      <c r="M259" s="33" t="str">
        <f>IF(ISNA(VLOOKUP(D259,'[3]Table APOQUA files'!$B:$B,1,FALSE)),"NO","YES")</f>
        <v>NO</v>
      </c>
      <c r="N259" s="33" t="str">
        <f>IF(ISNA(VLOOKUP(D259,'Base PFR table'!K:K,1,FALSE)),"NO","YES")</f>
        <v>NO</v>
      </c>
      <c r="O259" s="35" t="s">
        <v>2858</v>
      </c>
      <c r="P259" s="35" t="s">
        <v>2858</v>
      </c>
    </row>
    <row r="260" spans="2:99" ht="15" customHeight="1" x14ac:dyDescent="0.25">
      <c r="B260" s="69" t="s">
        <v>2087</v>
      </c>
      <c r="D260" s="1" t="s">
        <v>2033</v>
      </c>
      <c r="E260" s="65" t="s">
        <v>2034</v>
      </c>
      <c r="F260" s="12" t="s">
        <v>2035</v>
      </c>
      <c r="G260" s="11" t="s">
        <v>1206</v>
      </c>
      <c r="H260" s="11"/>
      <c r="I260" s="9" t="s">
        <v>2496</v>
      </c>
      <c r="J260" s="13">
        <v>45181</v>
      </c>
      <c r="K260" s="13">
        <v>45209</v>
      </c>
      <c r="L260" s="11" t="s">
        <v>1207</v>
      </c>
      <c r="M260" s="33" t="str">
        <f>IF(ISNA(VLOOKUP(D260,'[3]Table APOQUA files'!$B:$B,1,FALSE)),"NO","YES")</f>
        <v>NO</v>
      </c>
      <c r="N260" s="33" t="str">
        <f>IF(ISNA(VLOOKUP(D260,'Base PFR table'!K:K,1,FALSE)),"NO","YES")</f>
        <v>NO</v>
      </c>
      <c r="O260" s="35" t="s">
        <v>2858</v>
      </c>
      <c r="P260" s="35" t="s">
        <v>2858</v>
      </c>
    </row>
    <row r="261" spans="2:99" ht="15" customHeight="1" x14ac:dyDescent="0.25">
      <c r="B261" s="71" t="s">
        <v>2087</v>
      </c>
      <c r="D261" s="1" t="s">
        <v>350</v>
      </c>
      <c r="E261" s="15" t="s">
        <v>827</v>
      </c>
      <c r="F261" s="20" t="s">
        <v>2782</v>
      </c>
      <c r="G261" s="9" t="s">
        <v>1206</v>
      </c>
      <c r="H261" s="9" t="s">
        <v>593</v>
      </c>
      <c r="I261" s="9" t="s">
        <v>2122</v>
      </c>
      <c r="J261" s="10">
        <v>39784</v>
      </c>
      <c r="K261" s="10">
        <v>44319</v>
      </c>
      <c r="L261" s="9" t="s">
        <v>2843</v>
      </c>
      <c r="M261" s="33" t="str">
        <f>IF(ISNA(VLOOKUP(D261,'[3]Table APOQUA files'!$B:$B,1,FALSE)),"NO","YES")</f>
        <v>YES</v>
      </c>
      <c r="N261" s="33" t="str">
        <f>IF(ISNA(VLOOKUP(D261,'Base PFR table'!K:K,1,FALSE)),"NO","YES")</f>
        <v>NO</v>
      </c>
      <c r="O261" s="35" t="s">
        <v>2858</v>
      </c>
      <c r="P261" s="35" t="s">
        <v>2858</v>
      </c>
    </row>
    <row r="262" spans="2:99" ht="15" customHeight="1" x14ac:dyDescent="0.25">
      <c r="B262" s="72" t="s">
        <v>2087</v>
      </c>
      <c r="D262" s="1" t="s">
        <v>349</v>
      </c>
      <c r="E262" s="15" t="s">
        <v>828</v>
      </c>
      <c r="F262" s="20" t="s">
        <v>1528</v>
      </c>
      <c r="G262" s="9" t="s">
        <v>1206</v>
      </c>
      <c r="H262" s="9" t="s">
        <v>593</v>
      </c>
      <c r="I262" s="9" t="s">
        <v>2122</v>
      </c>
      <c r="J262" s="10">
        <v>39784</v>
      </c>
      <c r="K262" s="10">
        <v>44319</v>
      </c>
      <c r="L262" s="9" t="s">
        <v>2843</v>
      </c>
      <c r="M262" s="33" t="str">
        <f>IF(ISNA(VLOOKUP(D262,'[3]Table APOQUA files'!$B:$B,1,FALSE)),"NO","YES")</f>
        <v>YES</v>
      </c>
      <c r="N262" s="33" t="str">
        <f>IF(ISNA(VLOOKUP(D262,'Base PFR table'!K:K,1,FALSE)),"NO","YES")</f>
        <v>NO</v>
      </c>
      <c r="O262" s="35" t="s">
        <v>2858</v>
      </c>
      <c r="P262" s="35" t="s">
        <v>2858</v>
      </c>
    </row>
    <row r="263" spans="2:99" ht="15" customHeight="1" x14ac:dyDescent="0.25">
      <c r="B263" s="72" t="s">
        <v>2087</v>
      </c>
      <c r="D263" s="1" t="s">
        <v>351</v>
      </c>
      <c r="E263" s="15" t="s">
        <v>2783</v>
      </c>
      <c r="F263" s="20" t="s">
        <v>2784</v>
      </c>
      <c r="G263" s="9" t="s">
        <v>1206</v>
      </c>
      <c r="H263" s="9" t="s">
        <v>593</v>
      </c>
      <c r="I263" s="9" t="s">
        <v>2122</v>
      </c>
      <c r="J263" s="10">
        <v>39784</v>
      </c>
      <c r="K263" s="10">
        <v>44319</v>
      </c>
      <c r="L263" s="9" t="s">
        <v>1207</v>
      </c>
      <c r="M263" s="33" t="str">
        <f>IF(ISNA(VLOOKUP(D263,'[3]Table APOQUA files'!$B:$B,1,FALSE)),"NO","YES")</f>
        <v>YES</v>
      </c>
      <c r="N263" s="33" t="str">
        <f>IF(ISNA(VLOOKUP(D263,'Base PFR table'!K:K,1,FALSE)),"NO","YES")</f>
        <v>NO</v>
      </c>
      <c r="O263" s="35" t="s">
        <v>2858</v>
      </c>
      <c r="P263" s="35" t="s">
        <v>2858</v>
      </c>
    </row>
    <row r="264" spans="2:99" ht="15" customHeight="1" x14ac:dyDescent="0.25">
      <c r="B264" s="72" t="s">
        <v>2087</v>
      </c>
      <c r="D264" s="1" t="s">
        <v>343</v>
      </c>
      <c r="E264" s="15" t="s">
        <v>829</v>
      </c>
      <c r="F264" s="20" t="s">
        <v>1530</v>
      </c>
      <c r="G264" s="9" t="s">
        <v>1218</v>
      </c>
      <c r="H264" s="9" t="s">
        <v>593</v>
      </c>
      <c r="I264" s="9" t="s">
        <v>2126</v>
      </c>
      <c r="J264" s="10">
        <v>39784</v>
      </c>
      <c r="K264" s="10">
        <v>45553</v>
      </c>
      <c r="L264" s="9" t="s">
        <v>1207</v>
      </c>
      <c r="M264" s="33" t="str">
        <f>IF(ISNA(VLOOKUP(D264,'[3]Table APOQUA files'!$B:$B,1,FALSE)),"NO","YES")</f>
        <v>YES</v>
      </c>
      <c r="N264" s="33" t="str">
        <f>IF(ISNA(VLOOKUP(D264,'Base PFR table'!K:K,1,FALSE)),"NO","YES")</f>
        <v>NO</v>
      </c>
      <c r="O264" s="35" t="s">
        <v>2858</v>
      </c>
      <c r="P264" s="35" t="s">
        <v>2858</v>
      </c>
    </row>
    <row r="265" spans="2:99" ht="15" customHeight="1" x14ac:dyDescent="0.25">
      <c r="B265" s="3" t="s">
        <v>2087</v>
      </c>
      <c r="D265" s="60" t="s">
        <v>341</v>
      </c>
      <c r="E265" s="56" t="s">
        <v>830</v>
      </c>
      <c r="F265" s="57" t="s">
        <v>1531</v>
      </c>
      <c r="G265" s="58" t="s">
        <v>1218</v>
      </c>
      <c r="H265" s="58" t="s">
        <v>593</v>
      </c>
      <c r="I265" s="58" t="s">
        <v>2126</v>
      </c>
      <c r="J265" s="59">
        <v>39784</v>
      </c>
      <c r="K265" s="59">
        <v>41005</v>
      </c>
      <c r="L265" s="58" t="s">
        <v>2843</v>
      </c>
      <c r="M265" s="33" t="str">
        <f>IF(ISNA(VLOOKUP(D265,'[3]Table APOQUA files'!$B:$B,1,FALSE)),"NO","YES")</f>
        <v>YES</v>
      </c>
      <c r="N265" s="33" t="str">
        <f>IF(ISNA(VLOOKUP(D265,'Base PFR table'!K:K,1,FALSE)),"NO","YES")</f>
        <v>NO</v>
      </c>
      <c r="O265" s="35" t="s">
        <v>2858</v>
      </c>
      <c r="P265" s="35" t="s">
        <v>2858</v>
      </c>
    </row>
    <row r="266" spans="2:99" ht="15" customHeight="1" x14ac:dyDescent="0.25">
      <c r="B266" s="72" t="s">
        <v>2087</v>
      </c>
      <c r="C266" s="38"/>
      <c r="D266" s="1" t="s">
        <v>133</v>
      </c>
      <c r="E266" s="15" t="s">
        <v>831</v>
      </c>
      <c r="F266" s="20" t="s">
        <v>1532</v>
      </c>
      <c r="G266" s="9" t="s">
        <v>1537</v>
      </c>
      <c r="H266" s="9" t="s">
        <v>612</v>
      </c>
      <c r="I266" s="9" t="s">
        <v>2127</v>
      </c>
      <c r="J266" s="10">
        <v>39784</v>
      </c>
      <c r="K266" s="10">
        <v>45531</v>
      </c>
      <c r="L266" s="11" t="s">
        <v>1487</v>
      </c>
      <c r="M266" s="33" t="str">
        <f>IF(ISNA(VLOOKUP(D266,'[3]Table APOQUA files'!$B:$B,1,FALSE)),"NO","YES")</f>
        <v>YES</v>
      </c>
      <c r="N266" s="33" t="str">
        <f>IF(ISNA(VLOOKUP(D266,'Base PFR table'!K:K,1,FALSE)),"NO","YES")</f>
        <v>YES</v>
      </c>
      <c r="O266" s="35" t="s">
        <v>2858</v>
      </c>
      <c r="P266" s="35" t="s">
        <v>2858</v>
      </c>
    </row>
    <row r="267" spans="2:99" ht="15" customHeight="1" x14ac:dyDescent="0.25">
      <c r="B267" s="72" t="s">
        <v>2087</v>
      </c>
      <c r="D267" s="1" t="s">
        <v>295</v>
      </c>
      <c r="E267" s="15" t="s">
        <v>832</v>
      </c>
      <c r="F267" s="20" t="s">
        <v>2785</v>
      </c>
      <c r="G267" s="9" t="s">
        <v>1490</v>
      </c>
      <c r="H267" s="9" t="s">
        <v>1171</v>
      </c>
      <c r="I267" s="9" t="s">
        <v>2129</v>
      </c>
      <c r="J267" s="10">
        <v>39800</v>
      </c>
      <c r="K267" s="10">
        <v>45687</v>
      </c>
      <c r="L267" s="9" t="s">
        <v>1487</v>
      </c>
      <c r="M267" s="33" t="str">
        <f>IF(ISNA(VLOOKUP(D267,'[3]Table APOQUA files'!$B:$B,1,FALSE)),"NO","YES")</f>
        <v>YES</v>
      </c>
      <c r="N267" s="33" t="str">
        <f>IF(ISNA(VLOOKUP(D267,'Base PFR table'!K:K,1,FALSE)),"NO","YES")</f>
        <v>NO</v>
      </c>
      <c r="O267" s="35" t="s">
        <v>2858</v>
      </c>
      <c r="P267" s="35" t="s">
        <v>2858</v>
      </c>
    </row>
    <row r="268" spans="2:99" ht="15" customHeight="1" x14ac:dyDescent="0.25">
      <c r="B268" s="72" t="s">
        <v>2087</v>
      </c>
      <c r="D268" s="1" t="s">
        <v>342</v>
      </c>
      <c r="E268" s="15" t="s">
        <v>833</v>
      </c>
      <c r="F268" s="20" t="s">
        <v>1535</v>
      </c>
      <c r="G268" s="9" t="s">
        <v>1218</v>
      </c>
      <c r="H268" s="9" t="s">
        <v>593</v>
      </c>
      <c r="I268" s="9" t="s">
        <v>2126</v>
      </c>
      <c r="J268" s="10">
        <v>39784</v>
      </c>
      <c r="K268" s="10">
        <v>45222</v>
      </c>
      <c r="L268" s="9" t="s">
        <v>2843</v>
      </c>
      <c r="M268" s="33" t="str">
        <f>IF(ISNA(VLOOKUP(D268,'[3]Table APOQUA files'!$B:$B,1,FALSE)),"NO","YES")</f>
        <v>YES</v>
      </c>
      <c r="N268" s="33" t="str">
        <f>IF(ISNA(VLOOKUP(D268,'Base PFR table'!K:K,1,FALSE)),"NO","YES")</f>
        <v>NO</v>
      </c>
      <c r="O268" s="35" t="s">
        <v>2858</v>
      </c>
      <c r="P268" s="35" t="s">
        <v>2858</v>
      </c>
    </row>
    <row r="269" spans="2:99" ht="15" customHeight="1" x14ac:dyDescent="0.25">
      <c r="B269" s="3" t="s">
        <v>2087</v>
      </c>
      <c r="D269" s="60" t="s">
        <v>131</v>
      </c>
      <c r="E269" s="56" t="s">
        <v>834</v>
      </c>
      <c r="F269" s="57" t="s">
        <v>1536</v>
      </c>
      <c r="G269" s="58" t="s">
        <v>1537</v>
      </c>
      <c r="H269" s="58" t="s">
        <v>612</v>
      </c>
      <c r="I269" s="58" t="s">
        <v>2127</v>
      </c>
      <c r="J269" s="59">
        <v>39716</v>
      </c>
      <c r="K269" s="59">
        <v>44461</v>
      </c>
      <c r="L269" s="58" t="s">
        <v>1207</v>
      </c>
      <c r="M269" s="33" t="str">
        <f>IF(ISNA(VLOOKUP(D269,'[3]Table APOQUA files'!$B:$B,1,FALSE)),"NO","YES")</f>
        <v>YES</v>
      </c>
      <c r="N269" s="33" t="str">
        <f>IF(ISNA(VLOOKUP(D269,'Base PFR table'!K:K,1,FALSE)),"NO","YES")</f>
        <v>YES</v>
      </c>
      <c r="O269" s="35" t="s">
        <v>2858</v>
      </c>
      <c r="P269" s="35" t="s">
        <v>2858</v>
      </c>
    </row>
    <row r="270" spans="2:99" s="70" customFormat="1" ht="15" customHeight="1" x14ac:dyDescent="0.25">
      <c r="B270" s="70" t="s">
        <v>2087</v>
      </c>
      <c r="C270" s="37"/>
      <c r="D270" s="14" t="s">
        <v>2847</v>
      </c>
      <c r="E270" s="15" t="s">
        <v>835</v>
      </c>
      <c r="F270" s="22" t="s">
        <v>1538</v>
      </c>
      <c r="G270" s="16" t="s">
        <v>1459</v>
      </c>
      <c r="H270" s="16" t="s">
        <v>1171</v>
      </c>
      <c r="I270" s="16" t="s">
        <v>2133</v>
      </c>
      <c r="J270" s="17">
        <v>39608</v>
      </c>
      <c r="K270" s="17">
        <v>44345</v>
      </c>
      <c r="L270" s="16" t="s">
        <v>1207</v>
      </c>
      <c r="M270" s="55" t="str">
        <f>IF(ISNA(VLOOKUP(D270,'[3]Table APOQUA files'!$B:$B,1,FALSE)),"NO","YES")</f>
        <v>NO</v>
      </c>
      <c r="N270" s="55" t="str">
        <f>IF(ISNA(VLOOKUP(D270,'Base PFR table'!K:K,1,FALSE)),"NO","YES")</f>
        <v>NO</v>
      </c>
      <c r="O270" s="35" t="s">
        <v>2858</v>
      </c>
      <c r="P270" s="35" t="s">
        <v>2858</v>
      </c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</row>
    <row r="271" spans="2:99" ht="15" customHeight="1" x14ac:dyDescent="0.25">
      <c r="B271" s="3" t="s">
        <v>2087</v>
      </c>
      <c r="D271" s="1" t="s">
        <v>29</v>
      </c>
      <c r="E271" s="15" t="s">
        <v>836</v>
      </c>
      <c r="F271" s="20" t="s">
        <v>1539</v>
      </c>
      <c r="G271" s="9" t="s">
        <v>1429</v>
      </c>
      <c r="H271" s="9" t="s">
        <v>1170</v>
      </c>
      <c r="I271" s="9" t="s">
        <v>2133</v>
      </c>
      <c r="J271" s="10">
        <v>39608</v>
      </c>
      <c r="K271" s="10">
        <v>39891</v>
      </c>
      <c r="L271" s="9" t="s">
        <v>1209</v>
      </c>
      <c r="M271" s="33" t="str">
        <f>IF(ISNA(VLOOKUP(D271,'[3]Table APOQUA files'!$B:$B,1,FALSE)),"NO","YES")</f>
        <v>YES</v>
      </c>
      <c r="N271" s="33" t="str">
        <f>IF(ISNA(VLOOKUP(D271,'Base PFR table'!K:K,1,FALSE)),"NO","YES")</f>
        <v>NO</v>
      </c>
      <c r="O271" s="35" t="s">
        <v>2858</v>
      </c>
      <c r="P271" s="35" t="s">
        <v>2858</v>
      </c>
    </row>
    <row r="272" spans="2:99" ht="15" customHeight="1" x14ac:dyDescent="0.25">
      <c r="B272" s="72" t="s">
        <v>2087</v>
      </c>
      <c r="D272" s="1" t="s">
        <v>440</v>
      </c>
      <c r="E272" s="15" t="s">
        <v>837</v>
      </c>
      <c r="F272" s="20" t="s">
        <v>1540</v>
      </c>
      <c r="G272" s="9" t="s">
        <v>1541</v>
      </c>
      <c r="H272" s="9" t="s">
        <v>599</v>
      </c>
      <c r="I272" s="9" t="s">
        <v>2057</v>
      </c>
      <c r="J272" s="10">
        <v>39608</v>
      </c>
      <c r="K272" s="10">
        <v>45035</v>
      </c>
      <c r="L272" s="9" t="s">
        <v>1207</v>
      </c>
      <c r="M272" s="33" t="str">
        <f>IF(ISNA(VLOOKUP(D272,'[3]Table APOQUA files'!$B:$B,1,FALSE)),"NO","YES")</f>
        <v>YES</v>
      </c>
      <c r="N272" s="33" t="str">
        <f>IF(ISNA(VLOOKUP(D272,'Base PFR table'!K:K,1,FALSE)),"NO","YES")</f>
        <v>NO</v>
      </c>
      <c r="O272" s="35" t="s">
        <v>2858</v>
      </c>
      <c r="P272" s="35" t="s">
        <v>2858</v>
      </c>
    </row>
    <row r="273" spans="2:99" ht="15" customHeight="1" x14ac:dyDescent="0.25">
      <c r="B273" s="72" t="s">
        <v>2087</v>
      </c>
      <c r="D273" s="1" t="s">
        <v>257</v>
      </c>
      <c r="E273" s="15" t="s">
        <v>2787</v>
      </c>
      <c r="F273" s="20" t="s">
        <v>2786</v>
      </c>
      <c r="G273" s="9" t="s">
        <v>1543</v>
      </c>
      <c r="H273" s="9" t="s">
        <v>1176</v>
      </c>
      <c r="I273" s="9" t="s">
        <v>2130</v>
      </c>
      <c r="J273" s="10">
        <v>39608</v>
      </c>
      <c r="K273" s="10">
        <v>45222</v>
      </c>
      <c r="L273" s="9" t="s">
        <v>1209</v>
      </c>
      <c r="M273" s="33" t="str">
        <f>IF(ISNA(VLOOKUP(D273,'[3]Table APOQUA files'!$B:$B,1,FALSE)),"NO","YES")</f>
        <v>YES</v>
      </c>
      <c r="N273" s="33" t="str">
        <f>IF(ISNA(VLOOKUP(D273,'Base PFR table'!K:K,1,FALSE)),"NO","YES")</f>
        <v>NO</v>
      </c>
      <c r="O273" s="35" t="s">
        <v>2858</v>
      </c>
      <c r="P273" s="35" t="s">
        <v>2858</v>
      </c>
    </row>
    <row r="274" spans="2:99" ht="15" customHeight="1" x14ac:dyDescent="0.25">
      <c r="B274" s="72" t="s">
        <v>2087</v>
      </c>
      <c r="D274" s="1" t="s">
        <v>275</v>
      </c>
      <c r="E274" s="15" t="s">
        <v>838</v>
      </c>
      <c r="F274" s="20" t="s">
        <v>1544</v>
      </c>
      <c r="G274" s="9" t="s">
        <v>1418</v>
      </c>
      <c r="H274" s="9" t="s">
        <v>599</v>
      </c>
      <c r="I274" s="9" t="s">
        <v>2057</v>
      </c>
      <c r="J274" s="10">
        <v>39608</v>
      </c>
      <c r="K274" s="10">
        <v>45222</v>
      </c>
      <c r="L274" s="9" t="s">
        <v>1207</v>
      </c>
      <c r="M274" s="33" t="str">
        <f>IF(ISNA(VLOOKUP(D274,'[3]Table APOQUA files'!$B:$B,1,FALSE)),"NO","YES")</f>
        <v>YES</v>
      </c>
      <c r="N274" s="33" t="str">
        <f>IF(ISNA(VLOOKUP(D274,'Base PFR table'!K:K,1,FALSE)),"NO","YES")</f>
        <v>NO</v>
      </c>
      <c r="O274" s="35" t="s">
        <v>2858</v>
      </c>
      <c r="P274" s="35" t="s">
        <v>2858</v>
      </c>
    </row>
    <row r="275" spans="2:99" ht="15" customHeight="1" x14ac:dyDescent="0.25">
      <c r="B275" s="3" t="s">
        <v>2087</v>
      </c>
      <c r="D275" s="60" t="s">
        <v>66</v>
      </c>
      <c r="E275" s="56" t="s">
        <v>839</v>
      </c>
      <c r="F275" s="89" t="s">
        <v>1545</v>
      </c>
      <c r="G275" s="58" t="s">
        <v>1546</v>
      </c>
      <c r="H275" s="58" t="s">
        <v>1170</v>
      </c>
      <c r="I275" s="58" t="s">
        <v>2133</v>
      </c>
      <c r="J275" s="59">
        <v>39608</v>
      </c>
      <c r="K275" s="59">
        <v>41751</v>
      </c>
      <c r="L275" s="58" t="s">
        <v>2843</v>
      </c>
      <c r="M275" s="33" t="str">
        <f>IF(ISNA(VLOOKUP(D275,'[3]Table APOQUA files'!$B:$B,1,FALSE)),"NO","YES")</f>
        <v>YES</v>
      </c>
      <c r="N275" s="33" t="str">
        <f>IF(ISNA(VLOOKUP(D275,'Base PFR table'!K:K,1,FALSE)),"NO","YES")</f>
        <v>NO</v>
      </c>
      <c r="O275" s="35" t="s">
        <v>2858</v>
      </c>
      <c r="P275" s="35" t="s">
        <v>2858</v>
      </c>
    </row>
    <row r="276" spans="2:99" ht="15" customHeight="1" x14ac:dyDescent="0.25">
      <c r="B276" s="72" t="s">
        <v>2087</v>
      </c>
      <c r="D276" s="1" t="s">
        <v>187</v>
      </c>
      <c r="E276" s="15" t="s">
        <v>840</v>
      </c>
      <c r="F276" s="20" t="s">
        <v>1547</v>
      </c>
      <c r="G276" s="9" t="s">
        <v>1543</v>
      </c>
      <c r="H276" s="9" t="s">
        <v>1176</v>
      </c>
      <c r="I276" s="9" t="s">
        <v>2130</v>
      </c>
      <c r="J276" s="10">
        <v>39608</v>
      </c>
      <c r="K276" s="10">
        <v>45222</v>
      </c>
      <c r="L276" s="9" t="s">
        <v>1207</v>
      </c>
      <c r="M276" s="33" t="str">
        <f>IF(ISNA(VLOOKUP(D276,'[3]Table APOQUA files'!$B:$B,1,FALSE)),"NO","YES")</f>
        <v>YES</v>
      </c>
      <c r="N276" s="33" t="str">
        <f>IF(ISNA(VLOOKUP(D276,'Base PFR table'!K:K,1,FALSE)),"NO","YES")</f>
        <v>NO</v>
      </c>
      <c r="O276" s="35" t="s">
        <v>2858</v>
      </c>
      <c r="P276" s="35" t="s">
        <v>2858</v>
      </c>
    </row>
    <row r="277" spans="2:99" s="70" customFormat="1" ht="15" customHeight="1" x14ac:dyDescent="0.25">
      <c r="B277" s="70" t="s">
        <v>2087</v>
      </c>
      <c r="C277" s="37"/>
      <c r="D277" s="14" t="s">
        <v>245</v>
      </c>
      <c r="E277" s="15" t="s">
        <v>841</v>
      </c>
      <c r="F277" s="22" t="s">
        <v>1548</v>
      </c>
      <c r="G277" s="16" t="s">
        <v>1292</v>
      </c>
      <c r="H277" s="16" t="s">
        <v>1176</v>
      </c>
      <c r="I277" s="16" t="s">
        <v>2130</v>
      </c>
      <c r="J277" s="17">
        <v>39608</v>
      </c>
      <c r="K277" s="17">
        <v>45222</v>
      </c>
      <c r="L277" s="16" t="s">
        <v>1207</v>
      </c>
      <c r="M277" s="55" t="str">
        <f>IF(ISNA(VLOOKUP(D277,'[3]Table APOQUA files'!$B:$B,1,FALSE)),"NO","YES")</f>
        <v>YES</v>
      </c>
      <c r="N277" s="55" t="str">
        <f>IF(ISNA(VLOOKUP(D277,'Base PFR table'!K:K,1,FALSE)),"NO","YES")</f>
        <v>NO</v>
      </c>
      <c r="O277" s="35" t="s">
        <v>2858</v>
      </c>
      <c r="P277" s="35" t="s">
        <v>2858</v>
      </c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</row>
    <row r="278" spans="2:99" ht="15" customHeight="1" x14ac:dyDescent="0.25">
      <c r="B278" s="72" t="s">
        <v>2087</v>
      </c>
      <c r="D278" s="1" t="s">
        <v>346</v>
      </c>
      <c r="E278" s="15" t="s">
        <v>842</v>
      </c>
      <c r="F278" s="20" t="s">
        <v>1549</v>
      </c>
      <c r="G278" s="9" t="s">
        <v>1206</v>
      </c>
      <c r="H278" s="9" t="s">
        <v>593</v>
      </c>
      <c r="I278" s="9" t="s">
        <v>2122</v>
      </c>
      <c r="J278" s="10">
        <v>39608</v>
      </c>
      <c r="K278" s="10">
        <v>44319</v>
      </c>
      <c r="L278" s="9" t="s">
        <v>1207</v>
      </c>
      <c r="M278" s="33" t="str">
        <f>IF(ISNA(VLOOKUP(D278,'[3]Table APOQUA files'!$B:$B,1,FALSE)),"NO","YES")</f>
        <v>YES</v>
      </c>
      <c r="N278" s="33" t="str">
        <f>IF(ISNA(VLOOKUP(D278,'Base PFR table'!K:K,1,FALSE)),"NO","YES")</f>
        <v>NO</v>
      </c>
      <c r="O278" s="35" t="s">
        <v>2858</v>
      </c>
      <c r="P278" s="35" t="s">
        <v>2858</v>
      </c>
    </row>
    <row r="279" spans="2:99" s="70" customFormat="1" ht="15" customHeight="1" x14ac:dyDescent="0.25">
      <c r="B279" s="70" t="s">
        <v>2087</v>
      </c>
      <c r="C279" s="37"/>
      <c r="D279" s="14" t="s">
        <v>286</v>
      </c>
      <c r="E279" s="15" t="s">
        <v>843</v>
      </c>
      <c r="F279" s="22" t="s">
        <v>1550</v>
      </c>
      <c r="G279" s="16" t="s">
        <v>1551</v>
      </c>
      <c r="H279" s="16" t="s">
        <v>1169</v>
      </c>
      <c r="I279" s="16" t="s">
        <v>2125</v>
      </c>
      <c r="J279" s="17">
        <v>39608</v>
      </c>
      <c r="K279" s="17">
        <v>45222</v>
      </c>
      <c r="L279" s="16" t="s">
        <v>1207</v>
      </c>
      <c r="M279" s="55" t="str">
        <f>IF(ISNA(VLOOKUP(D279,'[3]Table APOQUA files'!$B:$B,1,FALSE)),"NO","YES")</f>
        <v>YES</v>
      </c>
      <c r="N279" s="55" t="str">
        <f>IF(ISNA(VLOOKUP(D279,'Base PFR table'!K:K,1,FALSE)),"NO","YES")</f>
        <v>NO</v>
      </c>
      <c r="O279" s="35" t="s">
        <v>2858</v>
      </c>
      <c r="P279" s="35" t="s">
        <v>2858</v>
      </c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</row>
    <row r="280" spans="2:99" ht="15" customHeight="1" x14ac:dyDescent="0.25">
      <c r="B280" s="72" t="s">
        <v>2087</v>
      </c>
      <c r="D280" s="1" t="s">
        <v>19</v>
      </c>
      <c r="E280" s="15" t="s">
        <v>844</v>
      </c>
      <c r="F280" s="20" t="s">
        <v>1552</v>
      </c>
      <c r="G280" s="9" t="s">
        <v>1333</v>
      </c>
      <c r="H280" s="9" t="s">
        <v>1171</v>
      </c>
      <c r="I280" s="9" t="s">
        <v>2126</v>
      </c>
      <c r="J280" s="10">
        <v>39608</v>
      </c>
      <c r="K280" s="10">
        <v>45222</v>
      </c>
      <c r="L280" s="9" t="s">
        <v>1209</v>
      </c>
      <c r="M280" s="33" t="str">
        <f>IF(ISNA(VLOOKUP(D280,'[3]Table APOQUA files'!$B:$B,1,FALSE)),"NO","YES")</f>
        <v>YES</v>
      </c>
      <c r="N280" s="33" t="str">
        <f>IF(ISNA(VLOOKUP(D280,'Base PFR table'!K:K,1,FALSE)),"NO","YES")</f>
        <v>NO</v>
      </c>
      <c r="O280" s="35" t="s">
        <v>2858</v>
      </c>
      <c r="P280" s="35" t="s">
        <v>2858</v>
      </c>
    </row>
    <row r="281" spans="2:99" ht="15" customHeight="1" x14ac:dyDescent="0.25">
      <c r="B281" s="72" t="s">
        <v>2087</v>
      </c>
      <c r="D281" s="1" t="s">
        <v>307</v>
      </c>
      <c r="E281" s="15" t="s">
        <v>845</v>
      </c>
      <c r="F281" s="20" t="s">
        <v>1553</v>
      </c>
      <c r="G281" s="9" t="s">
        <v>1328</v>
      </c>
      <c r="H281" s="9" t="s">
        <v>1180</v>
      </c>
      <c r="I281" s="9" t="s">
        <v>2125</v>
      </c>
      <c r="J281" s="10">
        <v>39608</v>
      </c>
      <c r="K281" s="74">
        <v>45230</v>
      </c>
      <c r="L281" s="9" t="s">
        <v>1207</v>
      </c>
      <c r="M281" s="33" t="str">
        <f>IF(ISNA(VLOOKUP(D281,'[3]Table APOQUA files'!$B:$B,1,FALSE)),"NO","YES")</f>
        <v>YES</v>
      </c>
      <c r="N281" s="33" t="str">
        <f>IF(ISNA(VLOOKUP(D281,'Base PFR table'!K:K,1,FALSE)),"NO","YES")</f>
        <v>YES</v>
      </c>
      <c r="O281" s="35" t="s">
        <v>2858</v>
      </c>
      <c r="P281" s="35" t="s">
        <v>2858</v>
      </c>
    </row>
    <row r="282" spans="2:99" ht="15" customHeight="1" x14ac:dyDescent="0.25">
      <c r="B282" s="69" t="s">
        <v>2087</v>
      </c>
      <c r="D282" s="1" t="s">
        <v>452</v>
      </c>
      <c r="E282" s="15" t="s">
        <v>846</v>
      </c>
      <c r="F282" s="20" t="s">
        <v>1554</v>
      </c>
      <c r="G282" s="9" t="s">
        <v>1306</v>
      </c>
      <c r="H282" s="9" t="s">
        <v>1178</v>
      </c>
      <c r="I282" s="9" t="s">
        <v>1186</v>
      </c>
      <c r="J282" s="10">
        <v>39608</v>
      </c>
      <c r="K282" s="10">
        <v>45390</v>
      </c>
      <c r="L282" s="9" t="s">
        <v>1207</v>
      </c>
      <c r="M282" s="33" t="str">
        <f>IF(ISNA(VLOOKUP(D282,'[3]Table APOQUA files'!$B:$B,1,FALSE)),"NO","YES")</f>
        <v>YES</v>
      </c>
      <c r="N282" s="33" t="str">
        <f>IF(ISNA(VLOOKUP(D282,'Base PFR table'!K:K,1,FALSE)),"NO","YES")</f>
        <v>NO</v>
      </c>
      <c r="O282" s="35" t="s">
        <v>2858</v>
      </c>
      <c r="P282" s="35" t="s">
        <v>2858</v>
      </c>
    </row>
    <row r="283" spans="2:99" ht="15" customHeight="1" x14ac:dyDescent="0.25">
      <c r="B283" s="72" t="s">
        <v>2087</v>
      </c>
      <c r="D283" s="1" t="s">
        <v>90</v>
      </c>
      <c r="E283" s="15" t="s">
        <v>847</v>
      </c>
      <c r="F283" s="20" t="s">
        <v>1555</v>
      </c>
      <c r="G283" s="9" t="s">
        <v>1622</v>
      </c>
      <c r="H283" s="9" t="s">
        <v>1178</v>
      </c>
      <c r="I283" s="9" t="s">
        <v>1186</v>
      </c>
      <c r="J283" s="10">
        <v>39608</v>
      </c>
      <c r="K283" s="10">
        <v>44319</v>
      </c>
      <c r="L283" s="9" t="s">
        <v>1207</v>
      </c>
      <c r="M283" s="33" t="str">
        <f>IF(ISNA(VLOOKUP(D283,'[3]Table APOQUA files'!$B:$B,1,FALSE)),"NO","YES")</f>
        <v>YES</v>
      </c>
      <c r="N283" s="33" t="str">
        <f>IF(ISNA(VLOOKUP(D283,'Base PFR table'!K:K,1,FALSE)),"NO","YES")</f>
        <v>NO</v>
      </c>
      <c r="O283" s="35" t="s">
        <v>2858</v>
      </c>
      <c r="P283" s="35" t="s">
        <v>2858</v>
      </c>
    </row>
    <row r="284" spans="2:99" ht="15" customHeight="1" x14ac:dyDescent="0.25">
      <c r="B284" s="3" t="s">
        <v>2087</v>
      </c>
      <c r="D284" s="60" t="s">
        <v>386</v>
      </c>
      <c r="E284" s="56" t="s">
        <v>848</v>
      </c>
      <c r="F284" s="57" t="s">
        <v>1556</v>
      </c>
      <c r="G284" s="58" t="s">
        <v>1557</v>
      </c>
      <c r="H284" s="58" t="s">
        <v>1169</v>
      </c>
      <c r="I284" s="58" t="s">
        <v>2129</v>
      </c>
      <c r="J284" s="59">
        <v>39608</v>
      </c>
      <c r="K284" s="59">
        <v>41386</v>
      </c>
      <c r="L284" s="58" t="s">
        <v>1209</v>
      </c>
      <c r="M284" s="33" t="str">
        <f>IF(ISNA(VLOOKUP(D284,'[3]Table APOQUA files'!$B:$B,1,FALSE)),"NO","YES")</f>
        <v>YES</v>
      </c>
      <c r="N284" s="33" t="str">
        <f>IF(ISNA(VLOOKUP(D284,'Base PFR table'!K:K,1,FALSE)),"NO","YES")</f>
        <v>NO</v>
      </c>
      <c r="O284" s="35" t="s">
        <v>2858</v>
      </c>
      <c r="P284" s="35" t="s">
        <v>2858</v>
      </c>
    </row>
    <row r="285" spans="2:99" ht="15" customHeight="1" x14ac:dyDescent="0.25">
      <c r="B285" s="3" t="s">
        <v>2087</v>
      </c>
      <c r="D285" s="60" t="s">
        <v>99</v>
      </c>
      <c r="E285" s="56" t="s">
        <v>849</v>
      </c>
      <c r="F285" s="57" t="s">
        <v>1558</v>
      </c>
      <c r="G285" s="58" t="s">
        <v>1559</v>
      </c>
      <c r="H285" s="58" t="s">
        <v>1174</v>
      </c>
      <c r="I285" s="58" t="s">
        <v>2133</v>
      </c>
      <c r="J285" s="59">
        <v>39608</v>
      </c>
      <c r="K285" s="59">
        <v>43125</v>
      </c>
      <c r="L285" s="58" t="s">
        <v>1207</v>
      </c>
      <c r="M285" s="33" t="str">
        <f>IF(ISNA(VLOOKUP(D285,'[3]Table APOQUA files'!$B:$B,1,FALSE)),"NO","YES")</f>
        <v>YES</v>
      </c>
      <c r="N285" s="33" t="str">
        <f>IF(ISNA(VLOOKUP(D285,'Base PFR table'!K:K,1,FALSE)),"NO","YES")</f>
        <v>NO</v>
      </c>
      <c r="O285" s="35" t="s">
        <v>2858</v>
      </c>
      <c r="P285" s="35" t="s">
        <v>2858</v>
      </c>
    </row>
    <row r="286" spans="2:99" ht="15" customHeight="1" x14ac:dyDescent="0.25">
      <c r="B286" s="69" t="s">
        <v>2087</v>
      </c>
      <c r="D286" s="1" t="s">
        <v>255</v>
      </c>
      <c r="E286" s="15" t="s">
        <v>850</v>
      </c>
      <c r="F286" s="20" t="s">
        <v>1560</v>
      </c>
      <c r="G286" s="9" t="s">
        <v>1253</v>
      </c>
      <c r="H286" s="9" t="s">
        <v>1177</v>
      </c>
      <c r="I286" s="9" t="s">
        <v>2122</v>
      </c>
      <c r="J286" s="10">
        <v>39608</v>
      </c>
      <c r="K286" s="10">
        <v>43089</v>
      </c>
      <c r="L286" s="9" t="s">
        <v>1207</v>
      </c>
      <c r="M286" s="33" t="str">
        <f>IF(ISNA(VLOOKUP(D286,'[3]Table APOQUA files'!$B:$B,1,FALSE)),"NO","YES")</f>
        <v>YES</v>
      </c>
      <c r="N286" s="33" t="str">
        <f>IF(ISNA(VLOOKUP(D286,'Base PFR table'!K:K,1,FALSE)),"NO","YES")</f>
        <v>NO</v>
      </c>
      <c r="O286" s="35" t="s">
        <v>2858</v>
      </c>
      <c r="P286" s="35" t="s">
        <v>2858</v>
      </c>
    </row>
    <row r="287" spans="2:99" ht="15" customHeight="1" x14ac:dyDescent="0.25">
      <c r="B287" s="72" t="s">
        <v>2087</v>
      </c>
      <c r="D287" s="1" t="s">
        <v>88</v>
      </c>
      <c r="E287" s="15" t="s">
        <v>851</v>
      </c>
      <c r="F287" s="20" t="s">
        <v>1561</v>
      </c>
      <c r="G287" s="9" t="s">
        <v>1244</v>
      </c>
      <c r="H287" s="9" t="s">
        <v>1175</v>
      </c>
      <c r="I287" s="9" t="s">
        <v>2133</v>
      </c>
      <c r="J287" s="10">
        <v>39608</v>
      </c>
      <c r="K287" s="10">
        <v>45222</v>
      </c>
      <c r="L287" s="9" t="s">
        <v>2843</v>
      </c>
      <c r="M287" s="33" t="str">
        <f>IF(ISNA(VLOOKUP(D287,'[3]Table APOQUA files'!$B:$B,1,FALSE)),"NO","YES")</f>
        <v>YES</v>
      </c>
      <c r="N287" s="33" t="str">
        <f>IF(ISNA(VLOOKUP(D287,'Base PFR table'!K:K,1,FALSE)),"NO","YES")</f>
        <v>NO</v>
      </c>
      <c r="O287" s="35" t="s">
        <v>2858</v>
      </c>
      <c r="P287" s="35" t="s">
        <v>2858</v>
      </c>
    </row>
    <row r="288" spans="2:99" ht="15" customHeight="1" x14ac:dyDescent="0.25">
      <c r="B288" s="72" t="s">
        <v>2087</v>
      </c>
      <c r="D288" s="1" t="s">
        <v>312</v>
      </c>
      <c r="E288" s="15" t="s">
        <v>852</v>
      </c>
      <c r="F288" s="20" t="s">
        <v>1562</v>
      </c>
      <c r="G288" s="9" t="s">
        <v>1563</v>
      </c>
      <c r="H288" s="9" t="s">
        <v>608</v>
      </c>
      <c r="I288" s="9" t="s">
        <v>2122</v>
      </c>
      <c r="J288" s="10">
        <v>39608</v>
      </c>
      <c r="K288" s="10">
        <v>39785</v>
      </c>
      <c r="L288" s="9" t="s">
        <v>2848</v>
      </c>
      <c r="M288" s="33" t="str">
        <f>IF(ISNA(VLOOKUP(D288,'[3]Table APOQUA files'!$B:$B,1,FALSE)),"NO","YES")</f>
        <v>YES</v>
      </c>
      <c r="N288" s="33" t="str">
        <f>IF(ISNA(VLOOKUP(D288,'Base PFR table'!K:K,1,FALSE)),"NO","YES")</f>
        <v>NO</v>
      </c>
      <c r="O288" s="35" t="s">
        <v>2858</v>
      </c>
      <c r="P288" s="35" t="s">
        <v>2858</v>
      </c>
    </row>
    <row r="289" spans="1:99" ht="15" customHeight="1" x14ac:dyDescent="0.25">
      <c r="B289" s="3" t="s">
        <v>2087</v>
      </c>
      <c r="D289" s="60" t="s">
        <v>64</v>
      </c>
      <c r="E289" s="56" t="s">
        <v>853</v>
      </c>
      <c r="F289" s="57" t="s">
        <v>1564</v>
      </c>
      <c r="G289" s="58" t="s">
        <v>1461</v>
      </c>
      <c r="H289" s="58" t="s">
        <v>1178</v>
      </c>
      <c r="I289" s="58" t="s">
        <v>2133</v>
      </c>
      <c r="J289" s="59">
        <v>39608</v>
      </c>
      <c r="K289" s="59">
        <v>41610</v>
      </c>
      <c r="L289" s="58" t="s">
        <v>2843</v>
      </c>
      <c r="M289" s="33" t="str">
        <f>IF(ISNA(VLOOKUP(D289,'[3]Table APOQUA files'!$B:$B,1,FALSE)),"NO","YES")</f>
        <v>YES</v>
      </c>
      <c r="N289" s="33" t="str">
        <f>IF(ISNA(VLOOKUP(D289,'Base PFR table'!K:K,1,FALSE)),"NO","YES")</f>
        <v>NO</v>
      </c>
      <c r="O289" s="35" t="s">
        <v>2858</v>
      </c>
      <c r="P289" s="35" t="s">
        <v>2858</v>
      </c>
    </row>
    <row r="290" spans="1:99" ht="15" customHeight="1" x14ac:dyDescent="0.25">
      <c r="B290" s="72" t="s">
        <v>2087</v>
      </c>
      <c r="D290" s="1" t="s">
        <v>114</v>
      </c>
      <c r="E290" s="15" t="s">
        <v>854</v>
      </c>
      <c r="F290" s="20" t="s">
        <v>1565</v>
      </c>
      <c r="G290" s="9" t="s">
        <v>1566</v>
      </c>
      <c r="H290" s="9" t="s">
        <v>1178</v>
      </c>
      <c r="I290" s="9" t="s">
        <v>2133</v>
      </c>
      <c r="J290" s="10">
        <v>39608</v>
      </c>
      <c r="K290" s="74">
        <v>45222</v>
      </c>
      <c r="L290" s="9" t="s">
        <v>2843</v>
      </c>
      <c r="M290" s="33" t="str">
        <f>IF(ISNA(VLOOKUP(D290,'[3]Table APOQUA files'!$B:$B,1,FALSE)),"NO","YES")</f>
        <v>YES</v>
      </c>
      <c r="N290" s="33" t="str">
        <f>IF(ISNA(VLOOKUP(D290,'Base PFR table'!K:K,1,FALSE)),"NO","YES")</f>
        <v>NO</v>
      </c>
      <c r="O290" s="35" t="s">
        <v>2858</v>
      </c>
      <c r="P290" s="35" t="s">
        <v>2858</v>
      </c>
    </row>
    <row r="291" spans="1:99" ht="15" customHeight="1" x14ac:dyDescent="0.25">
      <c r="B291" s="3" t="s">
        <v>2087</v>
      </c>
      <c r="D291" s="60" t="s">
        <v>176</v>
      </c>
      <c r="E291" s="56" t="s">
        <v>855</v>
      </c>
      <c r="F291" s="57" t="s">
        <v>1567</v>
      </c>
      <c r="G291" s="58" t="s">
        <v>1568</v>
      </c>
      <c r="H291" s="58" t="s">
        <v>1173</v>
      </c>
      <c r="I291" s="58" t="s">
        <v>2133</v>
      </c>
      <c r="J291" s="59">
        <v>39608</v>
      </c>
      <c r="K291" s="59">
        <v>42823</v>
      </c>
      <c r="L291" s="58" t="s">
        <v>2843</v>
      </c>
      <c r="M291" s="33" t="str">
        <f>IF(ISNA(VLOOKUP(D291,'[3]Table APOQUA files'!$B:$B,1,FALSE)),"NO","YES")</f>
        <v>YES</v>
      </c>
      <c r="N291" s="33" t="str">
        <f>IF(ISNA(VLOOKUP(D291,'Base PFR table'!K:K,1,FALSE)),"NO","YES")</f>
        <v>NO</v>
      </c>
      <c r="O291" s="35" t="s">
        <v>2858</v>
      </c>
      <c r="P291" s="35" t="s">
        <v>2858</v>
      </c>
    </row>
    <row r="292" spans="1:99" ht="15" customHeight="1" x14ac:dyDescent="0.25">
      <c r="B292" s="72" t="s">
        <v>2087</v>
      </c>
      <c r="D292" s="1" t="s">
        <v>283</v>
      </c>
      <c r="E292" s="15" t="s">
        <v>856</v>
      </c>
      <c r="F292" s="20" t="s">
        <v>1569</v>
      </c>
      <c r="G292" s="9" t="s">
        <v>1570</v>
      </c>
      <c r="H292" s="9" t="s">
        <v>599</v>
      </c>
      <c r="I292" s="9" t="s">
        <v>2126</v>
      </c>
      <c r="J292" s="10">
        <v>39608</v>
      </c>
      <c r="K292" s="10">
        <v>45222</v>
      </c>
      <c r="L292" s="9" t="s">
        <v>2848</v>
      </c>
      <c r="M292" s="33" t="str">
        <f>IF(ISNA(VLOOKUP(D292,'[3]Table APOQUA files'!$B:$B,1,FALSE)),"NO","YES")</f>
        <v>YES</v>
      </c>
      <c r="N292" s="33" t="str">
        <f>IF(ISNA(VLOOKUP(D292,'Base PFR table'!K:K,1,FALSE)),"NO","YES")</f>
        <v>NO</v>
      </c>
      <c r="O292" s="35" t="s">
        <v>2858</v>
      </c>
      <c r="P292" s="35" t="s">
        <v>2858</v>
      </c>
    </row>
    <row r="293" spans="1:99" s="70" customFormat="1" ht="15" customHeight="1" x14ac:dyDescent="0.25">
      <c r="B293" s="70" t="s">
        <v>2087</v>
      </c>
      <c r="C293" s="37"/>
      <c r="D293" s="14" t="s">
        <v>424</v>
      </c>
      <c r="E293" s="15" t="s">
        <v>857</v>
      </c>
      <c r="F293" s="22" t="s">
        <v>1571</v>
      </c>
      <c r="G293" s="16" t="s">
        <v>1559</v>
      </c>
      <c r="H293" s="16" t="s">
        <v>1174</v>
      </c>
      <c r="I293" s="16" t="s">
        <v>2133</v>
      </c>
      <c r="J293" s="17">
        <v>39608</v>
      </c>
      <c r="K293" s="17">
        <v>45222</v>
      </c>
      <c r="L293" s="16" t="s">
        <v>2843</v>
      </c>
      <c r="M293" s="55" t="str">
        <f>IF(ISNA(VLOOKUP(D293,'[3]Table APOQUA files'!$B:$B,1,FALSE)),"NO","YES")</f>
        <v>YES</v>
      </c>
      <c r="N293" s="55" t="str">
        <f>IF(ISNA(VLOOKUP(D293,'Base PFR table'!K:K,1,FALSE)),"NO","YES")</f>
        <v>NO</v>
      </c>
      <c r="O293" s="35" t="s">
        <v>2858</v>
      </c>
      <c r="P293" s="35" t="s">
        <v>2858</v>
      </c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</row>
    <row r="294" spans="1:99" ht="15" customHeight="1" x14ac:dyDescent="0.25">
      <c r="B294" s="3" t="s">
        <v>2087</v>
      </c>
      <c r="D294" s="60" t="s">
        <v>8</v>
      </c>
      <c r="E294" s="56" t="s">
        <v>858</v>
      </c>
      <c r="F294" s="57" t="s">
        <v>1208</v>
      </c>
      <c r="G294" s="58" t="s">
        <v>1559</v>
      </c>
      <c r="H294" s="58" t="s">
        <v>1174</v>
      </c>
      <c r="I294" s="58" t="s">
        <v>2133</v>
      </c>
      <c r="J294" s="59">
        <v>39608</v>
      </c>
      <c r="K294" s="59">
        <v>42760</v>
      </c>
      <c r="L294" s="58" t="s">
        <v>2848</v>
      </c>
      <c r="M294" s="33" t="str">
        <f>IF(ISNA(VLOOKUP(D294,'[3]Table APOQUA files'!$B:$B,1,FALSE)),"NO","YES")</f>
        <v>YES</v>
      </c>
      <c r="N294" s="33" t="str">
        <f>IF(ISNA(VLOOKUP(D294,'Base PFR table'!K:K,1,FALSE)),"NO","YES")</f>
        <v>NO</v>
      </c>
      <c r="O294" s="35" t="s">
        <v>2858</v>
      </c>
      <c r="P294" s="35" t="s">
        <v>2858</v>
      </c>
    </row>
    <row r="295" spans="1:99" s="18" customFormat="1" ht="26.25" customHeight="1" x14ac:dyDescent="0.25">
      <c r="A295" s="70"/>
      <c r="B295" s="70" t="s">
        <v>2087</v>
      </c>
      <c r="C295" s="37"/>
      <c r="D295" s="14" t="s">
        <v>80</v>
      </c>
      <c r="E295" s="15" t="s">
        <v>859</v>
      </c>
      <c r="F295" s="22" t="s">
        <v>1572</v>
      </c>
      <c r="G295" s="16" t="s">
        <v>1220</v>
      </c>
      <c r="H295" s="16" t="s">
        <v>1170</v>
      </c>
      <c r="I295" s="16" t="s">
        <v>2133</v>
      </c>
      <c r="J295" s="17">
        <v>39608</v>
      </c>
      <c r="K295" s="17">
        <v>43648</v>
      </c>
      <c r="L295" s="16" t="s">
        <v>2843</v>
      </c>
      <c r="M295" s="55" t="str">
        <f>IF(ISNA(VLOOKUP(D295,'[3]Table APOQUA files'!$B:$B,1,FALSE)),"NO","YES")</f>
        <v>YES</v>
      </c>
      <c r="N295" s="55" t="str">
        <f>IF(ISNA(VLOOKUP(D295,'Base PFR table'!K:K,1,FALSE)),"NO","YES")</f>
        <v>NO</v>
      </c>
      <c r="O295" s="35" t="s">
        <v>2858</v>
      </c>
      <c r="P295" s="35" t="s">
        <v>2858</v>
      </c>
    </row>
    <row r="296" spans="1:99" s="70" customFormat="1" ht="15" customHeight="1" x14ac:dyDescent="0.25">
      <c r="B296" s="70" t="s">
        <v>2087</v>
      </c>
      <c r="C296" s="37"/>
      <c r="D296" s="14" t="s">
        <v>232</v>
      </c>
      <c r="E296" s="15" t="s">
        <v>860</v>
      </c>
      <c r="F296" s="22" t="s">
        <v>1573</v>
      </c>
      <c r="G296" s="16" t="s">
        <v>1503</v>
      </c>
      <c r="H296" s="16" t="s">
        <v>1170</v>
      </c>
      <c r="I296" s="16" t="s">
        <v>2133</v>
      </c>
      <c r="J296" s="17">
        <v>39608</v>
      </c>
      <c r="K296" s="17">
        <v>44319</v>
      </c>
      <c r="L296" s="16" t="s">
        <v>2843</v>
      </c>
      <c r="M296" s="55" t="str">
        <f>IF(ISNA(VLOOKUP(D296,'[3]Table APOQUA files'!$B:$B,1,FALSE)),"NO","YES")</f>
        <v>YES</v>
      </c>
      <c r="N296" s="55" t="str">
        <f>IF(ISNA(VLOOKUP(D296,'Base PFR table'!K:K,1,FALSE)),"NO","YES")</f>
        <v>NO</v>
      </c>
      <c r="O296" s="35" t="s">
        <v>2858</v>
      </c>
      <c r="P296" s="35" t="s">
        <v>2858</v>
      </c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</row>
    <row r="297" spans="1:99" s="70" customFormat="1" ht="15" customHeight="1" x14ac:dyDescent="0.25">
      <c r="B297" s="70" t="s">
        <v>2087</v>
      </c>
      <c r="C297" s="37"/>
      <c r="D297" s="14" t="s">
        <v>72</v>
      </c>
      <c r="E297" s="15" t="s">
        <v>861</v>
      </c>
      <c r="F297" s="22" t="s">
        <v>1574</v>
      </c>
      <c r="G297" s="16" t="s">
        <v>1300</v>
      </c>
      <c r="H297" s="16" t="s">
        <v>1178</v>
      </c>
      <c r="I297" s="16" t="s">
        <v>1186</v>
      </c>
      <c r="J297" s="17">
        <v>39608</v>
      </c>
      <c r="K297" s="17">
        <v>43619</v>
      </c>
      <c r="L297" s="16" t="s">
        <v>2848</v>
      </c>
      <c r="M297" s="55" t="str">
        <f>IF(ISNA(VLOOKUP(D297,'[3]Table APOQUA files'!$B:$B,1,FALSE)),"NO","YES")</f>
        <v>YES</v>
      </c>
      <c r="N297" s="55" t="str">
        <f>IF(ISNA(VLOOKUP(D297,'Base PFR table'!K:K,1,FALSE)),"NO","YES")</f>
        <v>NO</v>
      </c>
      <c r="O297" s="35" t="s">
        <v>2858</v>
      </c>
      <c r="P297" s="35" t="s">
        <v>2858</v>
      </c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</row>
    <row r="298" spans="1:99" ht="15" customHeight="1" x14ac:dyDescent="0.25">
      <c r="B298" s="69" t="s">
        <v>2087</v>
      </c>
      <c r="D298" s="1" t="s">
        <v>419</v>
      </c>
      <c r="E298" s="15" t="s">
        <v>862</v>
      </c>
      <c r="F298" s="20" t="s">
        <v>1575</v>
      </c>
      <c r="G298" s="9" t="s">
        <v>1434</v>
      </c>
      <c r="H298" s="9" t="s">
        <v>1174</v>
      </c>
      <c r="I298" s="9" t="s">
        <v>2132</v>
      </c>
      <c r="J298" s="10">
        <v>44803</v>
      </c>
      <c r="K298" s="10">
        <v>45401</v>
      </c>
      <c r="L298" s="9" t="s">
        <v>1207</v>
      </c>
      <c r="M298" s="33" t="str">
        <f>IF(ISNA(VLOOKUP(D298,'[3]Table APOQUA files'!$B:$B,1,FALSE)),"NO","YES")</f>
        <v>YES</v>
      </c>
      <c r="N298" s="33" t="str">
        <f>IF(ISNA(VLOOKUP(D298,'Base PFR table'!K:K,1,FALSE)),"NO","YES")</f>
        <v>NO</v>
      </c>
      <c r="O298" s="35" t="s">
        <v>2858</v>
      </c>
      <c r="P298" s="35" t="s">
        <v>2858</v>
      </c>
    </row>
    <row r="299" spans="1:99" ht="15" customHeight="1" x14ac:dyDescent="0.25">
      <c r="B299" s="69" t="s">
        <v>2087</v>
      </c>
      <c r="C299" s="67"/>
      <c r="D299" s="1" t="s">
        <v>412</v>
      </c>
      <c r="E299" s="15" t="s">
        <v>863</v>
      </c>
      <c r="F299" s="20" t="s">
        <v>1576</v>
      </c>
      <c r="G299" s="9" t="s">
        <v>1233</v>
      </c>
      <c r="H299" s="9" t="s">
        <v>593</v>
      </c>
      <c r="I299" s="9" t="s">
        <v>2122</v>
      </c>
      <c r="J299" s="10">
        <v>39608</v>
      </c>
      <c r="K299" s="10">
        <v>45449</v>
      </c>
      <c r="L299" s="9" t="s">
        <v>1207</v>
      </c>
      <c r="M299" s="33" t="str">
        <f>IF(ISNA(VLOOKUP(D299,'[3]Table APOQUA files'!$B:$B,1,FALSE)),"NO","YES")</f>
        <v>YES</v>
      </c>
      <c r="N299" s="33" t="str">
        <f>IF(ISNA(VLOOKUP(D299,'Base PFR table'!K:K,1,FALSE)),"NO","YES")</f>
        <v>YES</v>
      </c>
      <c r="O299" s="35" t="s">
        <v>2858</v>
      </c>
      <c r="P299" s="35" t="s">
        <v>2858</v>
      </c>
    </row>
    <row r="300" spans="1:99" ht="15" customHeight="1" x14ac:dyDescent="0.25">
      <c r="B300" s="72" t="s">
        <v>2087</v>
      </c>
      <c r="D300" s="1" t="s">
        <v>406</v>
      </c>
      <c r="E300" s="15" t="s">
        <v>864</v>
      </c>
      <c r="F300" s="20" t="s">
        <v>1523</v>
      </c>
      <c r="G300" s="9" t="s">
        <v>1369</v>
      </c>
      <c r="H300" s="9" t="s">
        <v>1173</v>
      </c>
      <c r="I300" s="9" t="s">
        <v>1186</v>
      </c>
      <c r="J300" s="10">
        <v>39608</v>
      </c>
      <c r="K300" s="10">
        <v>45203</v>
      </c>
      <c r="L300" s="9" t="s">
        <v>2843</v>
      </c>
      <c r="M300" s="33" t="str">
        <f>IF(ISNA(VLOOKUP(D300,'[3]Table APOQUA files'!$B:$B,1,FALSE)),"NO","YES")</f>
        <v>YES</v>
      </c>
      <c r="N300" s="33" t="str">
        <f>IF(ISNA(VLOOKUP(D300,'Base PFR table'!K:K,1,FALSE)),"NO","YES")</f>
        <v>NO</v>
      </c>
      <c r="O300" s="35" t="s">
        <v>2858</v>
      </c>
      <c r="P300" s="35" t="s">
        <v>2858</v>
      </c>
    </row>
    <row r="301" spans="1:99" s="70" customFormat="1" ht="29.25" customHeight="1" x14ac:dyDescent="0.25">
      <c r="B301" s="70" t="s">
        <v>2087</v>
      </c>
      <c r="C301" s="37"/>
      <c r="D301" s="14" t="s">
        <v>81</v>
      </c>
      <c r="E301" s="15" t="s">
        <v>865</v>
      </c>
      <c r="F301" s="22" t="s">
        <v>1577</v>
      </c>
      <c r="G301" s="16" t="s">
        <v>1220</v>
      </c>
      <c r="H301" s="16" t="s">
        <v>1170</v>
      </c>
      <c r="I301" s="16" t="s">
        <v>2133</v>
      </c>
      <c r="J301" s="17">
        <v>39608</v>
      </c>
      <c r="K301" s="17">
        <v>45222</v>
      </c>
      <c r="L301" s="16" t="s">
        <v>1207</v>
      </c>
      <c r="M301" s="55" t="str">
        <f>IF(ISNA(VLOOKUP(D301,'[3]Table APOQUA files'!$B:$B,1,FALSE)),"NO","YES")</f>
        <v>YES</v>
      </c>
      <c r="N301" s="55" t="str">
        <f>IF(ISNA(VLOOKUP(D301,'Base PFR table'!K:K,1,FALSE)),"NO","YES")</f>
        <v>NO</v>
      </c>
      <c r="O301" s="35" t="s">
        <v>2858</v>
      </c>
      <c r="P301" s="35" t="s">
        <v>2858</v>
      </c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</row>
    <row r="302" spans="1:99" s="18" customFormat="1" ht="12" customHeight="1" x14ac:dyDescent="0.25">
      <c r="B302" s="18" t="s">
        <v>2087</v>
      </c>
      <c r="C302" s="67"/>
      <c r="D302" s="14" t="s">
        <v>137</v>
      </c>
      <c r="E302" s="15" t="s">
        <v>866</v>
      </c>
      <c r="F302" s="22" t="s">
        <v>1578</v>
      </c>
      <c r="G302" s="16" t="s">
        <v>1333</v>
      </c>
      <c r="H302" s="16" t="s">
        <v>1171</v>
      </c>
      <c r="I302" s="16">
        <v>0</v>
      </c>
      <c r="J302" s="17">
        <v>39608</v>
      </c>
      <c r="K302" s="17">
        <v>39761</v>
      </c>
      <c r="L302" s="9" t="s">
        <v>2843</v>
      </c>
      <c r="M302" s="55" t="str">
        <f>IF(ISNA(VLOOKUP(D302,'[3]Table APOQUA files'!$B:$B,1,FALSE)),"NO","YES")</f>
        <v>YES</v>
      </c>
      <c r="N302" s="55" t="str">
        <f>IF(ISNA(VLOOKUP(D302,'Base PFR table'!K:K,1,FALSE)),"NO","YES")</f>
        <v>NO</v>
      </c>
      <c r="O302" s="35" t="s">
        <v>2858</v>
      </c>
      <c r="P302" s="35" t="s">
        <v>2858</v>
      </c>
    </row>
    <row r="303" spans="1:99" s="70" customFormat="1" ht="15" customHeight="1" x14ac:dyDescent="0.25">
      <c r="B303" s="70" t="s">
        <v>2087</v>
      </c>
      <c r="C303" s="37"/>
      <c r="D303" s="14" t="s">
        <v>173</v>
      </c>
      <c r="E303" s="15" t="s">
        <v>867</v>
      </c>
      <c r="F303" s="22" t="s">
        <v>1579</v>
      </c>
      <c r="G303" s="16" t="s">
        <v>1396</v>
      </c>
      <c r="H303" s="16" t="s">
        <v>1169</v>
      </c>
      <c r="I303" s="16" t="s">
        <v>2125</v>
      </c>
      <c r="J303" s="17">
        <v>39608</v>
      </c>
      <c r="K303" s="17">
        <v>45222</v>
      </c>
      <c r="L303" s="16" t="s">
        <v>2843</v>
      </c>
      <c r="M303" s="55" t="str">
        <f>IF(ISNA(VLOOKUP(D303,'[3]Table APOQUA files'!$B:$B,1,FALSE)),"NO","YES")</f>
        <v>YES</v>
      </c>
      <c r="N303" s="55" t="str">
        <f>IF(ISNA(VLOOKUP(D303,'Base PFR table'!K:K,1,FALSE)),"NO","YES")</f>
        <v>NO</v>
      </c>
      <c r="O303" s="35" t="s">
        <v>2858</v>
      </c>
      <c r="P303" s="35" t="s">
        <v>2858</v>
      </c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</row>
    <row r="304" spans="1:99" s="18" customFormat="1" ht="15" customHeight="1" x14ac:dyDescent="0.25">
      <c r="A304" s="70"/>
      <c r="B304" s="70" t="s">
        <v>2087</v>
      </c>
      <c r="C304" s="37"/>
      <c r="D304" s="14" t="s">
        <v>463</v>
      </c>
      <c r="E304" s="15" t="s">
        <v>868</v>
      </c>
      <c r="F304" s="22" t="s">
        <v>1580</v>
      </c>
      <c r="G304" s="16" t="s">
        <v>1581</v>
      </c>
      <c r="H304" s="16" t="s">
        <v>1171</v>
      </c>
      <c r="I304" s="16" t="s">
        <v>2129</v>
      </c>
      <c r="J304" s="17">
        <v>39608</v>
      </c>
      <c r="K304" s="17">
        <v>40913</v>
      </c>
      <c r="L304" s="16" t="s">
        <v>2843</v>
      </c>
      <c r="M304" s="55" t="str">
        <f>IF(ISNA(VLOOKUP(D304,'[3]Table APOQUA files'!$B:$B,1,FALSE)),"NO","YES")</f>
        <v>YES</v>
      </c>
      <c r="N304" s="55" t="str">
        <f>IF(ISNA(VLOOKUP(D304,'Base PFR table'!K:K,1,FALSE)),"NO","YES")</f>
        <v>NO</v>
      </c>
      <c r="O304" s="35" t="s">
        <v>2858</v>
      </c>
      <c r="P304" s="35" t="s">
        <v>2858</v>
      </c>
    </row>
    <row r="305" spans="2:99" ht="15" customHeight="1" x14ac:dyDescent="0.25">
      <c r="B305" s="69" t="s">
        <v>2087</v>
      </c>
      <c r="C305" s="67"/>
      <c r="D305" s="1" t="s">
        <v>272</v>
      </c>
      <c r="E305" s="15" t="s">
        <v>869</v>
      </c>
      <c r="F305" s="20" t="s">
        <v>1582</v>
      </c>
      <c r="G305" s="9" t="s">
        <v>1583</v>
      </c>
      <c r="H305" s="9" t="s">
        <v>1169</v>
      </c>
      <c r="I305" s="9" t="s">
        <v>2125</v>
      </c>
      <c r="J305" s="10">
        <v>39608</v>
      </c>
      <c r="K305" s="10">
        <v>45314</v>
      </c>
      <c r="L305" s="9" t="s">
        <v>1207</v>
      </c>
      <c r="M305" s="33" t="str">
        <f>IF(ISNA(VLOOKUP(D305,'[3]Table APOQUA files'!$B:$B,1,FALSE)),"NO","YES")</f>
        <v>YES</v>
      </c>
      <c r="N305" s="33" t="str">
        <f>IF(ISNA(VLOOKUP(D305,'Base PFR table'!K:K,1,FALSE)),"NO","YES")</f>
        <v>NO</v>
      </c>
      <c r="O305" s="35" t="s">
        <v>2870</v>
      </c>
      <c r="P305" s="35" t="s">
        <v>2865</v>
      </c>
      <c r="Q305" s="3" t="s">
        <v>2867</v>
      </c>
      <c r="R305" s="3" t="s">
        <v>2874</v>
      </c>
    </row>
    <row r="306" spans="2:99" ht="15" customHeight="1" x14ac:dyDescent="0.25">
      <c r="B306" s="72" t="s">
        <v>2087</v>
      </c>
      <c r="D306" s="1" t="s">
        <v>442</v>
      </c>
      <c r="E306" s="15" t="s">
        <v>2788</v>
      </c>
      <c r="F306" s="20" t="s">
        <v>2789</v>
      </c>
      <c r="G306" s="9" t="s">
        <v>1255</v>
      </c>
      <c r="H306" s="9" t="s">
        <v>1177</v>
      </c>
      <c r="I306" s="9" t="s">
        <v>2131</v>
      </c>
      <c r="J306" s="10">
        <v>39608</v>
      </c>
      <c r="K306" s="10">
        <v>45595</v>
      </c>
      <c r="L306" s="9" t="s">
        <v>1209</v>
      </c>
      <c r="M306" s="33" t="str">
        <f>IF(ISNA(VLOOKUP(D306,'[3]Table APOQUA files'!$B:$B,1,FALSE)),"NO","YES")</f>
        <v>YES</v>
      </c>
      <c r="N306" s="33" t="str">
        <f>IF(ISNA(VLOOKUP(D306,'Base PFR table'!K:K,1,FALSE)),"NO","YES")</f>
        <v>NO</v>
      </c>
      <c r="O306" s="35" t="s">
        <v>2858</v>
      </c>
      <c r="P306" s="35" t="s">
        <v>2858</v>
      </c>
    </row>
    <row r="307" spans="2:99" ht="15" customHeight="1" x14ac:dyDescent="0.25">
      <c r="B307" s="72" t="s">
        <v>2087</v>
      </c>
      <c r="D307" s="1" t="s">
        <v>34</v>
      </c>
      <c r="E307" s="15" t="s">
        <v>870</v>
      </c>
      <c r="F307" s="20" t="s">
        <v>1585</v>
      </c>
      <c r="G307" s="9" t="s">
        <v>1586</v>
      </c>
      <c r="H307" s="9" t="s">
        <v>1177</v>
      </c>
      <c r="I307" s="9" t="s">
        <v>2124</v>
      </c>
      <c r="J307" s="10">
        <v>39608</v>
      </c>
      <c r="K307" s="10">
        <v>45541</v>
      </c>
      <c r="L307" s="9" t="s">
        <v>1207</v>
      </c>
      <c r="M307" s="33" t="str">
        <f>IF(ISNA(VLOOKUP(D307,'[3]Table APOQUA files'!$B:$B,1,FALSE)),"NO","YES")</f>
        <v>YES</v>
      </c>
      <c r="N307" s="33" t="str">
        <f>IF(ISNA(VLOOKUP(D307,'Base PFR table'!K:K,1,FALSE)),"NO","YES")</f>
        <v>NO</v>
      </c>
      <c r="O307" s="35" t="s">
        <v>2858</v>
      </c>
      <c r="P307" s="35" t="s">
        <v>2858</v>
      </c>
    </row>
    <row r="308" spans="2:99" ht="15" customHeight="1" x14ac:dyDescent="0.25">
      <c r="B308" s="72" t="s">
        <v>2087</v>
      </c>
      <c r="D308" s="1" t="s">
        <v>460</v>
      </c>
      <c r="E308" s="15" t="s">
        <v>871</v>
      </c>
      <c r="F308" s="20" t="s">
        <v>1587</v>
      </c>
      <c r="G308" s="9" t="s">
        <v>1490</v>
      </c>
      <c r="H308" s="9" t="s">
        <v>1171</v>
      </c>
      <c r="I308" s="9"/>
      <c r="J308" s="10">
        <v>39608</v>
      </c>
      <c r="K308" s="10">
        <v>45610</v>
      </c>
      <c r="L308" s="10" t="s">
        <v>1209</v>
      </c>
      <c r="M308" s="33" t="str">
        <f>IF(ISNA(VLOOKUP(D308,'[3]Table APOQUA files'!$B:$B,1,FALSE)),"NO","YES")</f>
        <v>YES</v>
      </c>
      <c r="N308" s="33" t="str">
        <f>IF(ISNA(VLOOKUP(D308,'Base PFR table'!K:K,1,FALSE)),"NO","YES")</f>
        <v>NO</v>
      </c>
      <c r="O308" s="35" t="s">
        <v>2858</v>
      </c>
      <c r="P308" s="35" t="s">
        <v>2858</v>
      </c>
    </row>
    <row r="309" spans="2:99" s="70" customFormat="1" ht="15" customHeight="1" x14ac:dyDescent="0.25">
      <c r="B309" s="70" t="s">
        <v>2087</v>
      </c>
      <c r="C309" s="37"/>
      <c r="D309" s="14" t="s">
        <v>138</v>
      </c>
      <c r="E309" s="15" t="s">
        <v>2790</v>
      </c>
      <c r="F309" s="22" t="s">
        <v>2791</v>
      </c>
      <c r="G309" s="16" t="s">
        <v>1333</v>
      </c>
      <c r="H309" s="16" t="s">
        <v>1171</v>
      </c>
      <c r="I309" s="16" t="s">
        <v>2133</v>
      </c>
      <c r="J309" s="17">
        <v>39608</v>
      </c>
      <c r="K309" s="17">
        <v>45236</v>
      </c>
      <c r="L309" s="16" t="s">
        <v>1207</v>
      </c>
      <c r="M309" s="55" t="str">
        <f>IF(ISNA(VLOOKUP(D309,'[3]Table APOQUA files'!$B:$B,1,FALSE)),"NO","YES")</f>
        <v>YES</v>
      </c>
      <c r="N309" s="55" t="str">
        <f>IF(ISNA(VLOOKUP(D309,'Base PFR table'!K:K,1,FALSE)),"NO","YES")</f>
        <v>NO</v>
      </c>
      <c r="O309" s="35" t="s">
        <v>2858</v>
      </c>
      <c r="P309" s="35" t="s">
        <v>2858</v>
      </c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</row>
    <row r="310" spans="2:99" ht="15" customHeight="1" x14ac:dyDescent="0.25">
      <c r="B310" s="72" t="s">
        <v>2087</v>
      </c>
      <c r="D310" s="1" t="s">
        <v>20</v>
      </c>
      <c r="E310" s="15" t="s">
        <v>872</v>
      </c>
      <c r="F310" s="20" t="s">
        <v>2792</v>
      </c>
      <c r="G310" s="9" t="s">
        <v>1590</v>
      </c>
      <c r="H310" s="9" t="s">
        <v>1171</v>
      </c>
      <c r="I310" s="9" t="s">
        <v>2129</v>
      </c>
      <c r="J310" s="10">
        <v>39608</v>
      </c>
      <c r="K310" s="10">
        <v>45419</v>
      </c>
      <c r="L310" s="9" t="s">
        <v>1207</v>
      </c>
      <c r="M310" s="33" t="str">
        <f>IF(ISNA(VLOOKUP(D310,'[3]Table APOQUA files'!$B:$B,1,FALSE)),"NO","YES")</f>
        <v>YES</v>
      </c>
      <c r="N310" s="33" t="str">
        <f>IF(ISNA(VLOOKUP(D310,'Base PFR table'!K:K,1,FALSE)),"NO","YES")</f>
        <v>YES</v>
      </c>
      <c r="O310" s="35" t="s">
        <v>2858</v>
      </c>
      <c r="P310" s="35" t="s">
        <v>2858</v>
      </c>
    </row>
    <row r="311" spans="2:99" ht="15" customHeight="1" x14ac:dyDescent="0.25">
      <c r="B311" s="69" t="s">
        <v>2087</v>
      </c>
      <c r="C311" s="67"/>
      <c r="D311" s="1" t="s">
        <v>291</v>
      </c>
      <c r="E311" s="15" t="s">
        <v>873</v>
      </c>
      <c r="F311" s="20" t="s">
        <v>1591</v>
      </c>
      <c r="G311" s="9" t="s">
        <v>1338</v>
      </c>
      <c r="H311" s="9" t="s">
        <v>1169</v>
      </c>
      <c r="I311" s="9" t="s">
        <v>2129</v>
      </c>
      <c r="J311" s="10">
        <v>39608</v>
      </c>
      <c r="K311" s="10">
        <v>45392</v>
      </c>
      <c r="L311" s="9" t="s">
        <v>1207</v>
      </c>
      <c r="M311" s="33" t="str">
        <f>IF(ISNA(VLOOKUP(D311,'[3]Table APOQUA files'!$B:$B,1,FALSE)),"NO","YES")</f>
        <v>YES</v>
      </c>
      <c r="N311" s="33" t="str">
        <f>IF(ISNA(VLOOKUP(D311,'Base PFR table'!K:K,1,FALSE)),"NO","YES")</f>
        <v>YES</v>
      </c>
      <c r="O311" s="35" t="s">
        <v>2858</v>
      </c>
      <c r="P311" s="35" t="s">
        <v>2858</v>
      </c>
    </row>
    <row r="312" spans="2:99" ht="15" customHeight="1" x14ac:dyDescent="0.25">
      <c r="B312" s="3" t="s">
        <v>2087</v>
      </c>
      <c r="D312" s="60" t="s">
        <v>78</v>
      </c>
      <c r="E312" s="56" t="s">
        <v>874</v>
      </c>
      <c r="F312" s="57" t="s">
        <v>1592</v>
      </c>
      <c r="G312" s="58" t="s">
        <v>1220</v>
      </c>
      <c r="H312" s="58" t="s">
        <v>1170</v>
      </c>
      <c r="I312" s="58" t="s">
        <v>2133</v>
      </c>
      <c r="J312" s="59">
        <v>39608</v>
      </c>
      <c r="K312" s="59">
        <v>42935</v>
      </c>
      <c r="L312" s="58" t="s">
        <v>2843</v>
      </c>
      <c r="M312" s="33" t="str">
        <f>IF(ISNA(VLOOKUP(D312,'[3]Table APOQUA files'!$B:$B,1,FALSE)),"NO","YES")</f>
        <v>YES</v>
      </c>
      <c r="N312" s="33" t="str">
        <f>IF(ISNA(VLOOKUP(D312,'Base PFR table'!K:K,1,FALSE)),"NO","YES")</f>
        <v>NO</v>
      </c>
      <c r="O312" s="35" t="s">
        <v>2858</v>
      </c>
      <c r="P312" s="35" t="s">
        <v>2858</v>
      </c>
    </row>
    <row r="313" spans="2:99" ht="15" customHeight="1" x14ac:dyDescent="0.25">
      <c r="B313" s="3" t="s">
        <v>2087</v>
      </c>
      <c r="D313" s="60" t="s">
        <v>65</v>
      </c>
      <c r="E313" s="56" t="s">
        <v>875</v>
      </c>
      <c r="F313" s="57" t="s">
        <v>1208</v>
      </c>
      <c r="G313" s="58" t="s">
        <v>1593</v>
      </c>
      <c r="H313" s="58" t="s">
        <v>1170</v>
      </c>
      <c r="I313" s="58" t="s">
        <v>2133</v>
      </c>
      <c r="J313" s="59">
        <v>39608</v>
      </c>
      <c r="K313" s="59">
        <v>40913</v>
      </c>
      <c r="L313" s="58" t="s">
        <v>2843</v>
      </c>
      <c r="M313" s="33" t="str">
        <f>IF(ISNA(VLOOKUP(D313,'[3]Table APOQUA files'!$B:$B,1,FALSE)),"NO","YES")</f>
        <v>YES</v>
      </c>
      <c r="N313" s="33" t="str">
        <f>IF(ISNA(VLOOKUP(D313,'Base PFR table'!K:K,1,FALSE)),"NO","YES")</f>
        <v>NO</v>
      </c>
      <c r="O313" s="35" t="s">
        <v>2858</v>
      </c>
      <c r="P313" s="35" t="s">
        <v>2858</v>
      </c>
    </row>
    <row r="314" spans="2:99" ht="15" customHeight="1" x14ac:dyDescent="0.25">
      <c r="B314" s="69" t="s">
        <v>2087</v>
      </c>
      <c r="C314" s="67"/>
      <c r="D314" s="1" t="s">
        <v>370</v>
      </c>
      <c r="E314" s="15" t="s">
        <v>876</v>
      </c>
      <c r="F314" s="20" t="s">
        <v>1594</v>
      </c>
      <c r="G314" s="9" t="s">
        <v>1595</v>
      </c>
      <c r="H314" s="9" t="s">
        <v>593</v>
      </c>
      <c r="I314" s="9" t="s">
        <v>2122</v>
      </c>
      <c r="J314" s="10">
        <v>39608</v>
      </c>
      <c r="K314" s="10">
        <v>45378</v>
      </c>
      <c r="L314" s="9" t="s">
        <v>1207</v>
      </c>
      <c r="M314" s="33" t="str">
        <f>IF(ISNA(VLOOKUP(D314,'[3]Table APOQUA files'!$B:$B,1,FALSE)),"NO","YES")</f>
        <v>YES</v>
      </c>
      <c r="N314" s="33" t="str">
        <f>IF(ISNA(VLOOKUP(D314,'Base PFR table'!K:K,1,FALSE)),"NO","YES")</f>
        <v>YES</v>
      </c>
      <c r="O314" s="35" t="s">
        <v>2858</v>
      </c>
      <c r="P314" s="35" t="s">
        <v>2858</v>
      </c>
    </row>
    <row r="315" spans="2:99" ht="14.45" customHeight="1" x14ac:dyDescent="0.25">
      <c r="B315" s="72" t="s">
        <v>2087</v>
      </c>
      <c r="D315" s="1" t="s">
        <v>426</v>
      </c>
      <c r="E315" s="15" t="s">
        <v>2793</v>
      </c>
      <c r="F315" s="20" t="s">
        <v>1596</v>
      </c>
      <c r="G315" s="9" t="s">
        <v>1398</v>
      </c>
      <c r="H315" s="9" t="s">
        <v>1176</v>
      </c>
      <c r="I315" s="9" t="s">
        <v>2122</v>
      </c>
      <c r="J315" s="10">
        <v>39608</v>
      </c>
      <c r="K315" s="10">
        <v>45372</v>
      </c>
      <c r="L315" s="9" t="s">
        <v>1207</v>
      </c>
      <c r="M315" s="33" t="str">
        <f>IF(ISNA(VLOOKUP(D315,'[3]Table APOQUA files'!$B:$B,1,FALSE)),"NO","YES")</f>
        <v>YES</v>
      </c>
      <c r="N315" s="33" t="str">
        <f>IF(ISNA(VLOOKUP(D315,'Base PFR table'!K:K,1,FALSE)),"NO","YES")</f>
        <v>NO</v>
      </c>
      <c r="O315" s="35" t="s">
        <v>2858</v>
      </c>
      <c r="P315" s="35" t="s">
        <v>2858</v>
      </c>
    </row>
    <row r="316" spans="2:99" s="70" customFormat="1" ht="15" customHeight="1" x14ac:dyDescent="0.25">
      <c r="B316" s="70" t="s">
        <v>2087</v>
      </c>
      <c r="C316" s="37"/>
      <c r="D316" s="14" t="s">
        <v>160</v>
      </c>
      <c r="E316" s="15" t="s">
        <v>877</v>
      </c>
      <c r="F316" s="22" t="s">
        <v>1597</v>
      </c>
      <c r="G316" s="16" t="s">
        <v>1372</v>
      </c>
      <c r="H316" s="16" t="s">
        <v>1169</v>
      </c>
      <c r="I316" s="16" t="s">
        <v>2125</v>
      </c>
      <c r="J316" s="17">
        <v>39608</v>
      </c>
      <c r="K316" s="17">
        <v>45222</v>
      </c>
      <c r="L316" s="16" t="s">
        <v>1207</v>
      </c>
      <c r="M316" s="55" t="str">
        <f>IF(ISNA(VLOOKUP(D316,'[3]Table APOQUA files'!$B:$B,1,FALSE)),"NO","YES")</f>
        <v>YES</v>
      </c>
      <c r="N316" s="55" t="str">
        <f>IF(ISNA(VLOOKUP(D316,'Base PFR table'!K:K,1,FALSE)),"NO","YES")</f>
        <v>NO</v>
      </c>
      <c r="O316" s="35" t="s">
        <v>2858</v>
      </c>
      <c r="P316" s="35" t="s">
        <v>2858</v>
      </c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</row>
    <row r="317" spans="2:99" ht="15" customHeight="1" x14ac:dyDescent="0.25">
      <c r="B317" s="69" t="s">
        <v>2087</v>
      </c>
      <c r="C317" s="67"/>
      <c r="D317" s="1" t="s">
        <v>409</v>
      </c>
      <c r="E317" s="15" t="s">
        <v>878</v>
      </c>
      <c r="F317" s="20" t="s">
        <v>1598</v>
      </c>
      <c r="G317" s="9" t="s">
        <v>1218</v>
      </c>
      <c r="H317" s="9" t="s">
        <v>593</v>
      </c>
      <c r="I317" s="9" t="s">
        <v>2126</v>
      </c>
      <c r="J317" s="10">
        <v>39608</v>
      </c>
      <c r="K317" s="10">
        <v>45426</v>
      </c>
      <c r="L317" s="9" t="s">
        <v>1207</v>
      </c>
      <c r="M317" s="33" t="str">
        <f>IF(ISNA(VLOOKUP(D317,'[3]Table APOQUA files'!$B:$B,1,FALSE)),"NO","YES")</f>
        <v>YES</v>
      </c>
      <c r="N317" s="33" t="str">
        <f>IF(ISNA(VLOOKUP(D317,'Base PFR table'!K:K,1,FALSE)),"NO","YES")</f>
        <v>YES</v>
      </c>
      <c r="O317" s="35" t="s">
        <v>2858</v>
      </c>
      <c r="P317" s="35" t="s">
        <v>2858</v>
      </c>
    </row>
    <row r="318" spans="2:99" ht="15" customHeight="1" x14ac:dyDescent="0.25">
      <c r="B318" s="72" t="s">
        <v>2087</v>
      </c>
      <c r="D318" s="1" t="s">
        <v>410</v>
      </c>
      <c r="E318" s="15" t="s">
        <v>879</v>
      </c>
      <c r="F318" s="20" t="s">
        <v>1599</v>
      </c>
      <c r="G318" s="9" t="s">
        <v>1287</v>
      </c>
      <c r="H318" s="9" t="s">
        <v>1177</v>
      </c>
      <c r="I318" s="9" t="s">
        <v>2122</v>
      </c>
      <c r="J318" s="10">
        <v>39608</v>
      </c>
      <c r="K318" s="10">
        <v>45625</v>
      </c>
      <c r="L318" s="9" t="s">
        <v>1207</v>
      </c>
      <c r="M318" s="33" t="str">
        <f>IF(ISNA(VLOOKUP(D318,'[3]Table APOQUA files'!$B:$B,1,FALSE)),"NO","YES")</f>
        <v>YES</v>
      </c>
      <c r="N318" s="33" t="str">
        <f>IF(ISNA(VLOOKUP(D318,'Base PFR table'!K:K,1,FALSE)),"NO","YES")</f>
        <v>NO</v>
      </c>
      <c r="O318" s="35" t="s">
        <v>2858</v>
      </c>
      <c r="P318" s="35" t="s">
        <v>2858</v>
      </c>
    </row>
    <row r="319" spans="2:99" ht="15" customHeight="1" x14ac:dyDescent="0.25">
      <c r="B319" s="3" t="s">
        <v>2087</v>
      </c>
      <c r="D319" s="60" t="s">
        <v>250</v>
      </c>
      <c r="E319" s="56" t="s">
        <v>880</v>
      </c>
      <c r="F319" s="57" t="s">
        <v>1208</v>
      </c>
      <c r="G319" s="58" t="s">
        <v>1208</v>
      </c>
      <c r="H319" s="58" t="s">
        <v>539</v>
      </c>
      <c r="I319" s="58" t="s">
        <v>2129</v>
      </c>
      <c r="J319" s="59">
        <v>39608</v>
      </c>
      <c r="K319" s="59">
        <v>40218</v>
      </c>
      <c r="L319" s="58" t="s">
        <v>1207</v>
      </c>
      <c r="M319" s="33" t="str">
        <f>IF(ISNA(VLOOKUP(D319,'[3]Table APOQUA files'!$B:$B,1,FALSE)),"NO","YES")</f>
        <v>YES</v>
      </c>
      <c r="N319" s="33" t="str">
        <f>IF(ISNA(VLOOKUP(D319,'Base PFR table'!K:K,1,FALSE)),"NO","YES")</f>
        <v>NO</v>
      </c>
      <c r="O319" s="35" t="s">
        <v>2858</v>
      </c>
      <c r="P319" s="35" t="s">
        <v>2858</v>
      </c>
    </row>
    <row r="320" spans="2:99" ht="15" customHeight="1" x14ac:dyDescent="0.25">
      <c r="B320" s="3" t="s">
        <v>2087</v>
      </c>
      <c r="D320" s="60" t="s">
        <v>85</v>
      </c>
      <c r="E320" s="56" t="s">
        <v>881</v>
      </c>
      <c r="F320" s="57" t="s">
        <v>1208</v>
      </c>
      <c r="G320" s="58" t="s">
        <v>1600</v>
      </c>
      <c r="H320" s="58" t="s">
        <v>1182</v>
      </c>
      <c r="I320" s="58" t="s">
        <v>2130</v>
      </c>
      <c r="J320" s="59">
        <v>39608</v>
      </c>
      <c r="K320" s="59">
        <v>43250</v>
      </c>
      <c r="L320" s="58" t="s">
        <v>1207</v>
      </c>
      <c r="M320" s="33" t="str">
        <f>IF(ISNA(VLOOKUP(D320,'[3]Table APOQUA files'!$B:$B,1,FALSE)),"NO","YES")</f>
        <v>YES</v>
      </c>
      <c r="N320" s="33" t="str">
        <f>IF(ISNA(VLOOKUP(D320,'Base PFR table'!K:K,1,FALSE)),"NO","YES")</f>
        <v>NO</v>
      </c>
      <c r="O320" s="35" t="s">
        <v>2858</v>
      </c>
      <c r="P320" s="35" t="s">
        <v>2858</v>
      </c>
    </row>
    <row r="321" spans="1:99" ht="15" customHeight="1" x14ac:dyDescent="0.25">
      <c r="B321" s="3" t="s">
        <v>2087</v>
      </c>
      <c r="D321" s="60" t="s">
        <v>9</v>
      </c>
      <c r="E321" s="56" t="s">
        <v>882</v>
      </c>
      <c r="F321" s="57" t="s">
        <v>1601</v>
      </c>
      <c r="G321" s="58" t="s">
        <v>1310</v>
      </c>
      <c r="H321" s="58" t="s">
        <v>1169</v>
      </c>
      <c r="I321" s="58" t="s">
        <v>2129</v>
      </c>
      <c r="J321" s="59">
        <v>39608</v>
      </c>
      <c r="K321" s="59">
        <v>39769</v>
      </c>
      <c r="L321" s="58" t="s">
        <v>1209</v>
      </c>
      <c r="M321" s="33" t="str">
        <f>IF(ISNA(VLOOKUP(D321,'[3]Table APOQUA files'!$B:$B,1,FALSE)),"NO","YES")</f>
        <v>YES</v>
      </c>
      <c r="N321" s="33" t="str">
        <f>IF(ISNA(VLOOKUP(D321,'Base PFR table'!K:K,1,FALSE)),"NO","YES")</f>
        <v>NO</v>
      </c>
      <c r="O321" s="35" t="s">
        <v>2858</v>
      </c>
      <c r="P321" s="35" t="s">
        <v>2858</v>
      </c>
    </row>
    <row r="322" spans="1:99" s="70" customFormat="1" ht="15" customHeight="1" x14ac:dyDescent="0.25">
      <c r="B322" s="70" t="s">
        <v>2087</v>
      </c>
      <c r="C322" s="37"/>
      <c r="D322" s="14" t="s">
        <v>140</v>
      </c>
      <c r="E322" s="15" t="s">
        <v>883</v>
      </c>
      <c r="F322" s="22" t="s">
        <v>1602</v>
      </c>
      <c r="G322" s="16" t="s">
        <v>1603</v>
      </c>
      <c r="H322" s="16" t="s">
        <v>1183</v>
      </c>
      <c r="I322" s="16" t="s">
        <v>2130</v>
      </c>
      <c r="J322" s="17">
        <v>39608</v>
      </c>
      <c r="K322" s="17">
        <v>45222</v>
      </c>
      <c r="L322" s="16" t="s">
        <v>1209</v>
      </c>
      <c r="M322" s="55" t="str">
        <f>IF(ISNA(VLOOKUP(D322,'[3]Table APOQUA files'!$B:$B,1,FALSE)),"NO","YES")</f>
        <v>YES</v>
      </c>
      <c r="N322" s="55" t="str">
        <f>IF(ISNA(VLOOKUP(D322,'Base PFR table'!K:K,1,FALSE)),"NO","YES")</f>
        <v>NO</v>
      </c>
      <c r="O322" s="35" t="s">
        <v>2858</v>
      </c>
      <c r="P322" s="35" t="s">
        <v>2858</v>
      </c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</row>
    <row r="323" spans="1:99" s="18" customFormat="1" ht="15" customHeight="1" x14ac:dyDescent="0.25">
      <c r="B323" s="18" t="s">
        <v>2087</v>
      </c>
      <c r="C323" s="67"/>
      <c r="D323" s="14" t="s">
        <v>155</v>
      </c>
      <c r="E323" s="15" t="s">
        <v>884</v>
      </c>
      <c r="F323" s="22" t="s">
        <v>1604</v>
      </c>
      <c r="G323" s="16" t="s">
        <v>1379</v>
      </c>
      <c r="H323" s="16" t="s">
        <v>1172</v>
      </c>
      <c r="I323" s="16" t="s">
        <v>2130</v>
      </c>
      <c r="J323" s="17">
        <v>39608</v>
      </c>
      <c r="K323" s="17">
        <v>42852</v>
      </c>
      <c r="L323" s="9" t="s">
        <v>2843</v>
      </c>
      <c r="M323" s="55" t="str">
        <f>IF(ISNA(VLOOKUP(D323,'[3]Table APOQUA files'!$B:$B,1,FALSE)),"NO","YES")</f>
        <v>YES</v>
      </c>
      <c r="N323" s="55" t="str">
        <f>IF(ISNA(VLOOKUP(D323,'Base PFR table'!K:K,1,FALSE)),"NO","YES")</f>
        <v>NO</v>
      </c>
      <c r="O323" s="35" t="s">
        <v>2858</v>
      </c>
      <c r="P323" s="35" t="s">
        <v>2858</v>
      </c>
    </row>
    <row r="324" spans="1:99" ht="15" customHeight="1" x14ac:dyDescent="0.25">
      <c r="B324" s="3" t="s">
        <v>2087</v>
      </c>
      <c r="D324" s="60" t="s">
        <v>251</v>
      </c>
      <c r="E324" s="56" t="s">
        <v>880</v>
      </c>
      <c r="F324" s="57" t="s">
        <v>1208</v>
      </c>
      <c r="G324" s="58" t="s">
        <v>1208</v>
      </c>
      <c r="H324" s="58" t="s">
        <v>539</v>
      </c>
      <c r="I324" s="58" t="s">
        <v>2129</v>
      </c>
      <c r="J324" s="59">
        <v>39608</v>
      </c>
      <c r="K324" s="59">
        <v>40218</v>
      </c>
      <c r="L324" s="58" t="s">
        <v>2843</v>
      </c>
      <c r="M324" s="33" t="str">
        <f>IF(ISNA(VLOOKUP(D324,'[3]Table APOQUA files'!$B:$B,1,FALSE)),"NO","YES")</f>
        <v>YES</v>
      </c>
      <c r="N324" s="33" t="str">
        <f>IF(ISNA(VLOOKUP(D324,'Base PFR table'!K:K,1,FALSE)),"NO","YES")</f>
        <v>NO</v>
      </c>
      <c r="O324" s="35" t="s">
        <v>2858</v>
      </c>
      <c r="P324" s="35" t="s">
        <v>2858</v>
      </c>
    </row>
    <row r="325" spans="1:99" ht="15" customHeight="1" x14ac:dyDescent="0.25">
      <c r="B325" s="3" t="s">
        <v>2087</v>
      </c>
      <c r="D325" s="60" t="s">
        <v>345</v>
      </c>
      <c r="E325" s="56" t="s">
        <v>885</v>
      </c>
      <c r="F325" s="57" t="s">
        <v>1208</v>
      </c>
      <c r="G325" s="58" t="s">
        <v>1206</v>
      </c>
      <c r="H325" s="58" t="s">
        <v>593</v>
      </c>
      <c r="I325" s="58" t="s">
        <v>2122</v>
      </c>
      <c r="J325" s="59">
        <v>39608</v>
      </c>
      <c r="K325" s="59">
        <v>41220</v>
      </c>
      <c r="L325" s="58" t="s">
        <v>2843</v>
      </c>
      <c r="M325" s="33" t="str">
        <f>IF(ISNA(VLOOKUP(D325,'[3]Table APOQUA files'!$B:$B,1,FALSE)),"NO","YES")</f>
        <v>YES</v>
      </c>
      <c r="N325" s="33" t="str">
        <f>IF(ISNA(VLOOKUP(D325,'Base PFR table'!K:K,1,FALSE)),"NO","YES")</f>
        <v>NO</v>
      </c>
      <c r="O325" s="35" t="s">
        <v>2858</v>
      </c>
      <c r="P325" s="35" t="s">
        <v>2858</v>
      </c>
    </row>
    <row r="326" spans="1:99" ht="15" customHeight="1" x14ac:dyDescent="0.25">
      <c r="B326" s="3" t="s">
        <v>2087</v>
      </c>
      <c r="D326" s="60" t="s">
        <v>338</v>
      </c>
      <c r="E326" s="56" t="s">
        <v>886</v>
      </c>
      <c r="F326" s="57" t="s">
        <v>1208</v>
      </c>
      <c r="G326" s="58" t="s">
        <v>1218</v>
      </c>
      <c r="H326" s="58" t="s">
        <v>593</v>
      </c>
      <c r="I326" s="58" t="s">
        <v>2126</v>
      </c>
      <c r="J326" s="59">
        <v>39608</v>
      </c>
      <c r="K326" s="59">
        <v>41220</v>
      </c>
      <c r="L326" s="58" t="s">
        <v>1209</v>
      </c>
      <c r="M326" s="33" t="str">
        <f>IF(ISNA(VLOOKUP(D326,'[3]Table APOQUA files'!$B:$B,1,FALSE)),"NO","YES")</f>
        <v>YES</v>
      </c>
      <c r="N326" s="33" t="str">
        <f>IF(ISNA(VLOOKUP(D326,'Base PFR table'!K:K,1,FALSE)),"NO","YES")</f>
        <v>NO</v>
      </c>
      <c r="O326" s="35" t="s">
        <v>2858</v>
      </c>
      <c r="P326" s="35" t="s">
        <v>2858</v>
      </c>
    </row>
    <row r="327" spans="1:99" ht="15" customHeight="1" x14ac:dyDescent="0.25">
      <c r="B327" s="69" t="s">
        <v>2087</v>
      </c>
      <c r="D327" s="1" t="s">
        <v>49</v>
      </c>
      <c r="E327" s="15" t="s">
        <v>887</v>
      </c>
      <c r="F327" s="20" t="s">
        <v>2794</v>
      </c>
      <c r="G327" s="9" t="s">
        <v>1498</v>
      </c>
      <c r="H327" s="9" t="s">
        <v>1176</v>
      </c>
      <c r="I327" s="9" t="s">
        <v>2133</v>
      </c>
      <c r="J327" s="10">
        <v>39608</v>
      </c>
      <c r="K327" s="10">
        <v>44959</v>
      </c>
      <c r="L327" s="9" t="s">
        <v>2843</v>
      </c>
      <c r="M327" s="33" t="str">
        <f>IF(ISNA(VLOOKUP(D327,'[3]Table APOQUA files'!$B:$B,1,FALSE)),"NO","YES")</f>
        <v>YES</v>
      </c>
      <c r="N327" s="33" t="str">
        <f>IF(ISNA(VLOOKUP(D327,'Base PFR table'!K:K,1,FALSE)),"NO","YES")</f>
        <v>NO</v>
      </c>
      <c r="O327" s="35" t="s">
        <v>2858</v>
      </c>
      <c r="P327" s="35" t="s">
        <v>2858</v>
      </c>
    </row>
    <row r="328" spans="1:99" ht="15" customHeight="1" x14ac:dyDescent="0.25">
      <c r="B328" s="72" t="s">
        <v>2087</v>
      </c>
      <c r="D328" s="1" t="s">
        <v>36</v>
      </c>
      <c r="E328" s="15" t="s">
        <v>888</v>
      </c>
      <c r="F328" s="20" t="s">
        <v>1606</v>
      </c>
      <c r="G328" s="9" t="s">
        <v>1607</v>
      </c>
      <c r="H328" s="9" t="s">
        <v>593</v>
      </c>
      <c r="I328" s="9" t="s">
        <v>2126</v>
      </c>
      <c r="J328" s="10">
        <v>39608</v>
      </c>
      <c r="K328" s="10">
        <v>45480</v>
      </c>
      <c r="L328" s="9" t="s">
        <v>1487</v>
      </c>
      <c r="M328" s="33" t="str">
        <f>IF(ISNA(VLOOKUP(D328,'[3]Table APOQUA files'!$B:$B,1,FALSE)),"NO","YES")</f>
        <v>YES</v>
      </c>
      <c r="N328" s="33" t="str">
        <f>IF(ISNA(VLOOKUP(D328,'Base PFR table'!K:K,1,FALSE)),"NO","YES")</f>
        <v>NO</v>
      </c>
      <c r="O328" s="35" t="s">
        <v>2858</v>
      </c>
      <c r="P328" s="35" t="s">
        <v>2858</v>
      </c>
    </row>
    <row r="329" spans="1:99" ht="15" customHeight="1" x14ac:dyDescent="0.25">
      <c r="B329" s="3" t="s">
        <v>2087</v>
      </c>
      <c r="D329" s="60" t="s">
        <v>130</v>
      </c>
      <c r="E329" s="56" t="s">
        <v>889</v>
      </c>
      <c r="F329" s="57" t="s">
        <v>1208</v>
      </c>
      <c r="G329" s="58" t="s">
        <v>1285</v>
      </c>
      <c r="H329" s="58" t="s">
        <v>1176</v>
      </c>
      <c r="I329" s="58" t="s">
        <v>2130</v>
      </c>
      <c r="J329" s="59">
        <v>39608</v>
      </c>
      <c r="K329" s="59">
        <v>40913</v>
      </c>
      <c r="L329" s="58" t="s">
        <v>2848</v>
      </c>
      <c r="M329" s="33" t="str">
        <f>IF(ISNA(VLOOKUP(D329,'[3]Table APOQUA files'!$B:$B,1,FALSE)),"NO","YES")</f>
        <v>YES</v>
      </c>
      <c r="N329" s="33" t="str">
        <f>IF(ISNA(VLOOKUP(D329,'Base PFR table'!K:K,1,FALSE)),"NO","YES")</f>
        <v>NO</v>
      </c>
      <c r="O329" s="35" t="s">
        <v>2858</v>
      </c>
      <c r="P329" s="35" t="s">
        <v>2858</v>
      </c>
    </row>
    <row r="330" spans="1:99" ht="15" customHeight="1" x14ac:dyDescent="0.25">
      <c r="B330" s="3" t="s">
        <v>2087</v>
      </c>
      <c r="D330" s="60" t="s">
        <v>136</v>
      </c>
      <c r="E330" s="56" t="s">
        <v>890</v>
      </c>
      <c r="F330" s="57" t="s">
        <v>1608</v>
      </c>
      <c r="G330" s="58" t="s">
        <v>1211</v>
      </c>
      <c r="H330" s="58" t="s">
        <v>1169</v>
      </c>
      <c r="I330" s="58" t="s">
        <v>2125</v>
      </c>
      <c r="J330" s="59">
        <v>39608</v>
      </c>
      <c r="K330" s="59">
        <v>42783</v>
      </c>
      <c r="L330" s="58" t="s">
        <v>1207</v>
      </c>
      <c r="M330" s="33" t="str">
        <f>IF(ISNA(VLOOKUP(D330,'[3]Table APOQUA files'!$B:$B,1,FALSE)),"NO","YES")</f>
        <v>YES</v>
      </c>
      <c r="N330" s="33" t="str">
        <f>IF(ISNA(VLOOKUP(D330,'Base PFR table'!K:K,1,FALSE)),"NO","YES")</f>
        <v>NO</v>
      </c>
      <c r="O330" s="35" t="s">
        <v>2858</v>
      </c>
      <c r="P330" s="35" t="s">
        <v>2858</v>
      </c>
    </row>
    <row r="331" spans="1:99" ht="15" customHeight="1" x14ac:dyDescent="0.25">
      <c r="B331" s="72" t="s">
        <v>2087</v>
      </c>
      <c r="D331" s="1" t="s">
        <v>223</v>
      </c>
      <c r="E331" s="15" t="s">
        <v>891</v>
      </c>
      <c r="F331" s="20" t="s">
        <v>1609</v>
      </c>
      <c r="G331" s="9" t="s">
        <v>1211</v>
      </c>
      <c r="H331" s="9" t="s">
        <v>1169</v>
      </c>
      <c r="I331" s="9" t="s">
        <v>2125</v>
      </c>
      <c r="J331" s="10">
        <v>39608</v>
      </c>
      <c r="K331" s="10">
        <v>44319</v>
      </c>
      <c r="L331" s="9" t="s">
        <v>1207</v>
      </c>
      <c r="M331" s="33" t="str">
        <f>IF(ISNA(VLOOKUP(D331,'[3]Table APOQUA files'!$B:$B,1,FALSE)),"NO","YES")</f>
        <v>YES</v>
      </c>
      <c r="N331" s="33" t="str">
        <f>IF(ISNA(VLOOKUP(D331,'Base PFR table'!K:K,1,FALSE)),"NO","YES")</f>
        <v>NO</v>
      </c>
      <c r="O331" s="35" t="s">
        <v>2858</v>
      </c>
      <c r="P331" s="35" t="s">
        <v>2858</v>
      </c>
    </row>
    <row r="332" spans="1:99" ht="15" customHeight="1" x14ac:dyDescent="0.25">
      <c r="B332" s="3" t="s">
        <v>2087</v>
      </c>
      <c r="D332" s="60" t="s">
        <v>414</v>
      </c>
      <c r="E332" s="56" t="s">
        <v>892</v>
      </c>
      <c r="F332" s="57" t="s">
        <v>1208</v>
      </c>
      <c r="G332" s="58" t="s">
        <v>1610</v>
      </c>
      <c r="H332" s="58" t="s">
        <v>539</v>
      </c>
      <c r="I332" s="58" t="s">
        <v>2127</v>
      </c>
      <c r="J332" s="59">
        <v>39608</v>
      </c>
      <c r="K332" s="59">
        <v>40365</v>
      </c>
      <c r="L332" s="58" t="s">
        <v>1209</v>
      </c>
      <c r="M332" s="33" t="str">
        <f>IF(ISNA(VLOOKUP(D332,'[3]Table APOQUA files'!$B:$B,1,FALSE)),"NO","YES")</f>
        <v>YES</v>
      </c>
      <c r="N332" s="33" t="str">
        <f>IF(ISNA(VLOOKUP(D332,'Base PFR table'!K:K,1,FALSE)),"NO","YES")</f>
        <v>NO</v>
      </c>
      <c r="O332" s="35" t="s">
        <v>2858</v>
      </c>
      <c r="P332" s="35" t="s">
        <v>2858</v>
      </c>
    </row>
    <row r="333" spans="1:99" s="18" customFormat="1" ht="15" customHeight="1" x14ac:dyDescent="0.25">
      <c r="A333" s="70"/>
      <c r="B333" s="70" t="s">
        <v>2087</v>
      </c>
      <c r="C333" s="37"/>
      <c r="D333" s="14" t="s">
        <v>62</v>
      </c>
      <c r="E333" s="15" t="s">
        <v>893</v>
      </c>
      <c r="F333" s="22" t="s">
        <v>1611</v>
      </c>
      <c r="G333" s="16" t="s">
        <v>1612</v>
      </c>
      <c r="H333" s="16" t="s">
        <v>1170</v>
      </c>
      <c r="I333" s="16" t="s">
        <v>2133</v>
      </c>
      <c r="J333" s="17">
        <v>39608</v>
      </c>
      <c r="K333" s="17">
        <v>39824</v>
      </c>
      <c r="L333" s="16" t="s">
        <v>2843</v>
      </c>
      <c r="M333" s="55" t="str">
        <f>IF(ISNA(VLOOKUP(D333,'[3]Table APOQUA files'!$B:$B,1,FALSE)),"NO","YES")</f>
        <v>YES</v>
      </c>
      <c r="N333" s="55" t="str">
        <f>IF(ISNA(VLOOKUP(D333,'Base PFR table'!K:K,1,FALSE)),"NO","YES")</f>
        <v>NO</v>
      </c>
      <c r="O333" s="35" t="s">
        <v>2858</v>
      </c>
      <c r="P333" s="35" t="s">
        <v>2858</v>
      </c>
    </row>
    <row r="334" spans="1:99" ht="15" customHeight="1" x14ac:dyDescent="0.25">
      <c r="B334" s="70" t="s">
        <v>2087</v>
      </c>
      <c r="D334" s="1" t="s">
        <v>562</v>
      </c>
      <c r="E334" s="15" t="s">
        <v>894</v>
      </c>
      <c r="F334" s="20" t="s">
        <v>1613</v>
      </c>
      <c r="G334" s="9" t="s">
        <v>1328</v>
      </c>
      <c r="H334" s="9" t="s">
        <v>1180</v>
      </c>
      <c r="I334" s="9" t="s">
        <v>1186</v>
      </c>
      <c r="J334" s="10">
        <v>0</v>
      </c>
      <c r="K334" s="10">
        <v>45419</v>
      </c>
      <c r="L334" s="9" t="s">
        <v>1487</v>
      </c>
      <c r="M334" s="33" t="str">
        <f>IF(ISNA(VLOOKUP(D334,'[3]Table APOQUA files'!$B:$B,1,FALSE)),"NO","YES")</f>
        <v>YES</v>
      </c>
      <c r="N334" s="33" t="str">
        <f>IF(ISNA(VLOOKUP(D334,'Base PFR table'!K:K,1,FALSE)),"NO","YES")</f>
        <v>NO</v>
      </c>
      <c r="O334" s="35" t="s">
        <v>2858</v>
      </c>
      <c r="P334" s="35" t="s">
        <v>2858</v>
      </c>
    </row>
    <row r="335" spans="1:99" ht="15" customHeight="1" x14ac:dyDescent="0.25">
      <c r="B335" s="3" t="s">
        <v>2087</v>
      </c>
      <c r="D335" s="60" t="s">
        <v>3</v>
      </c>
      <c r="E335" s="56" t="s">
        <v>895</v>
      </c>
      <c r="F335" s="57" t="s">
        <v>1208</v>
      </c>
      <c r="G335" s="58" t="s">
        <v>1614</v>
      </c>
      <c r="H335" s="58" t="s">
        <v>1184</v>
      </c>
      <c r="I335" s="58" t="s">
        <v>2130</v>
      </c>
      <c r="J335" s="59">
        <v>39608</v>
      </c>
      <c r="K335" s="59">
        <v>41220</v>
      </c>
      <c r="L335" s="58" t="s">
        <v>1207</v>
      </c>
      <c r="M335" s="33" t="str">
        <f>IF(ISNA(VLOOKUP(D335,'[3]Table APOQUA files'!$B:$B,1,FALSE)),"NO","YES")</f>
        <v>YES</v>
      </c>
      <c r="N335" s="33" t="str">
        <f>IF(ISNA(VLOOKUP(D335,'Base PFR table'!K:K,1,FALSE)),"NO","YES")</f>
        <v>NO</v>
      </c>
      <c r="O335" s="35" t="s">
        <v>2858</v>
      </c>
      <c r="P335" s="35" t="s">
        <v>2858</v>
      </c>
    </row>
    <row r="336" spans="1:99" ht="15" customHeight="1" x14ac:dyDescent="0.25">
      <c r="B336" s="72" t="s">
        <v>2087</v>
      </c>
      <c r="D336" s="1" t="s">
        <v>13</v>
      </c>
      <c r="E336" s="15" t="s">
        <v>896</v>
      </c>
      <c r="F336" s="20" t="s">
        <v>1615</v>
      </c>
      <c r="G336" s="9" t="s">
        <v>1616</v>
      </c>
      <c r="H336" s="9" t="s">
        <v>1174</v>
      </c>
      <c r="I336" s="9" t="s">
        <v>2130</v>
      </c>
      <c r="J336" s="10">
        <v>39608</v>
      </c>
      <c r="K336" s="10">
        <v>45425</v>
      </c>
      <c r="L336" s="9" t="s">
        <v>1207</v>
      </c>
      <c r="M336" s="33" t="str">
        <f>IF(ISNA(VLOOKUP(D336,'[3]Table APOQUA files'!$B:$B,1,FALSE)),"NO","YES")</f>
        <v>YES</v>
      </c>
      <c r="N336" s="33" t="str">
        <f>IF(ISNA(VLOOKUP(D336,'Base PFR table'!K:K,1,FALSE)),"NO","YES")</f>
        <v>NO</v>
      </c>
      <c r="O336" s="35" t="s">
        <v>2858</v>
      </c>
      <c r="P336" s="35" t="s">
        <v>2858</v>
      </c>
    </row>
    <row r="337" spans="1:99" s="70" customFormat="1" ht="15" customHeight="1" x14ac:dyDescent="0.25">
      <c r="B337" s="70" t="s">
        <v>2087</v>
      </c>
      <c r="C337" s="37"/>
      <c r="D337" s="14" t="s">
        <v>332</v>
      </c>
      <c r="E337" s="15" t="s">
        <v>897</v>
      </c>
      <c r="F337" s="22" t="s">
        <v>1617</v>
      </c>
      <c r="G337" s="16" t="s">
        <v>1238</v>
      </c>
      <c r="H337" s="16" t="s">
        <v>1172</v>
      </c>
      <c r="I337" s="16" t="s">
        <v>2130</v>
      </c>
      <c r="J337" s="17">
        <v>39608</v>
      </c>
      <c r="K337" s="17">
        <v>43999</v>
      </c>
      <c r="L337" s="16" t="s">
        <v>2843</v>
      </c>
      <c r="M337" s="55" t="str">
        <f>IF(ISNA(VLOOKUP(D337,'[3]Table APOQUA files'!$B:$B,1,FALSE)),"NO","YES")</f>
        <v>YES</v>
      </c>
      <c r="N337" s="55" t="str">
        <f>IF(ISNA(VLOOKUP(D337,'Base PFR table'!K:K,1,FALSE)),"NO","YES")</f>
        <v>NO</v>
      </c>
      <c r="O337" s="35" t="s">
        <v>2858</v>
      </c>
      <c r="P337" s="35" t="s">
        <v>2858</v>
      </c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</row>
    <row r="338" spans="1:99" ht="15" customHeight="1" x14ac:dyDescent="0.25">
      <c r="B338" s="72" t="s">
        <v>2087</v>
      </c>
      <c r="D338" s="1" t="s">
        <v>159</v>
      </c>
      <c r="E338" s="15" t="s">
        <v>898</v>
      </c>
      <c r="F338" s="20" t="s">
        <v>1618</v>
      </c>
      <c r="G338" s="9" t="s">
        <v>1619</v>
      </c>
      <c r="H338" s="9" t="s">
        <v>1169</v>
      </c>
      <c r="I338" s="9" t="s">
        <v>2129</v>
      </c>
      <c r="J338" s="10">
        <v>39608</v>
      </c>
      <c r="K338" s="10">
        <v>45637</v>
      </c>
      <c r="L338" s="9" t="s">
        <v>1207</v>
      </c>
      <c r="M338" s="33" t="str">
        <f>IF(ISNA(VLOOKUP(D338,'[3]Table APOQUA files'!$B:$B,1,FALSE)),"NO","YES")</f>
        <v>YES</v>
      </c>
      <c r="N338" s="33" t="str">
        <f>IF(ISNA(VLOOKUP(D338,'Base PFR table'!K:K,1,FALSE)),"NO","YES")</f>
        <v>NO</v>
      </c>
      <c r="O338" s="35" t="s">
        <v>2858</v>
      </c>
      <c r="P338" s="35" t="s">
        <v>2858</v>
      </c>
    </row>
    <row r="339" spans="1:99" s="18" customFormat="1" ht="15" customHeight="1" x14ac:dyDescent="0.25">
      <c r="A339" s="70"/>
      <c r="B339" s="70" t="s">
        <v>2087</v>
      </c>
      <c r="C339" s="37"/>
      <c r="D339" s="96" t="s">
        <v>48</v>
      </c>
      <c r="E339" s="97" t="s">
        <v>899</v>
      </c>
      <c r="F339" s="98" t="s">
        <v>1620</v>
      </c>
      <c r="G339" s="99" t="s">
        <v>1595</v>
      </c>
      <c r="H339" s="99" t="s">
        <v>593</v>
      </c>
      <c r="I339" s="99" t="s">
        <v>2133</v>
      </c>
      <c r="J339" s="100">
        <v>39608</v>
      </c>
      <c r="K339" s="100">
        <v>45313</v>
      </c>
      <c r="L339" s="99" t="s">
        <v>2645</v>
      </c>
      <c r="M339" s="55" t="str">
        <f>IF(ISNA(VLOOKUP(D339,'[3]Table APOQUA files'!$B:$B,1,FALSE)),"NO","YES")</f>
        <v>YES</v>
      </c>
      <c r="N339" s="55" t="str">
        <f>IF(ISNA(VLOOKUP(D339,'Base PFR table'!K:K,1,FALSE)),"NO","YES")</f>
        <v>NO</v>
      </c>
      <c r="O339" s="3" t="s">
        <v>2857</v>
      </c>
      <c r="P339" s="3" t="s">
        <v>2857</v>
      </c>
    </row>
    <row r="340" spans="1:99" s="70" customFormat="1" ht="15" customHeight="1" x14ac:dyDescent="0.25">
      <c r="B340" s="70" t="s">
        <v>2087</v>
      </c>
      <c r="C340" s="37"/>
      <c r="D340" s="14" t="s">
        <v>57</v>
      </c>
      <c r="E340" s="15" t="s">
        <v>900</v>
      </c>
      <c r="F340" s="22" t="s">
        <v>1621</v>
      </c>
      <c r="G340" s="16" t="s">
        <v>1498</v>
      </c>
      <c r="H340" s="16" t="s">
        <v>1176</v>
      </c>
      <c r="I340" s="16" t="s">
        <v>2133</v>
      </c>
      <c r="J340" s="17">
        <v>39608</v>
      </c>
      <c r="K340" s="17">
        <v>45222</v>
      </c>
      <c r="L340" s="16" t="s">
        <v>2843</v>
      </c>
      <c r="M340" s="55" t="str">
        <f>IF(ISNA(VLOOKUP(D340,'[3]Table APOQUA files'!$B:$B,1,FALSE)),"NO","YES")</f>
        <v>YES</v>
      </c>
      <c r="N340" s="55" t="str">
        <f>IF(ISNA(VLOOKUP(D340,'Base PFR table'!K:K,1,FALSE)),"NO","YES")</f>
        <v>NO</v>
      </c>
      <c r="O340" s="35" t="s">
        <v>2858</v>
      </c>
      <c r="P340" s="35" t="s">
        <v>2858</v>
      </c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</row>
    <row r="341" spans="1:99" s="18" customFormat="1" ht="15" customHeight="1" x14ac:dyDescent="0.25">
      <c r="A341" s="70"/>
      <c r="B341" s="70" t="s">
        <v>2087</v>
      </c>
      <c r="C341" s="37"/>
      <c r="D341" s="14" t="s">
        <v>423</v>
      </c>
      <c r="E341" s="15" t="s">
        <v>901</v>
      </c>
      <c r="F341" s="22" t="s">
        <v>1208</v>
      </c>
      <c r="G341" s="16" t="s">
        <v>1622</v>
      </c>
      <c r="H341" s="16" t="s">
        <v>1175</v>
      </c>
      <c r="I341" s="16" t="s">
        <v>1186</v>
      </c>
      <c r="J341" s="17">
        <v>39608</v>
      </c>
      <c r="K341" s="17">
        <v>39633</v>
      </c>
      <c r="L341" s="16" t="s">
        <v>1207</v>
      </c>
      <c r="M341" s="55" t="str">
        <f>IF(ISNA(VLOOKUP(D341,'[3]Table APOQUA files'!$B:$B,1,FALSE)),"NO","YES")</f>
        <v>YES</v>
      </c>
      <c r="N341" s="55" t="str">
        <f>IF(ISNA(VLOOKUP(D341,'Base PFR table'!K:K,1,FALSE)),"NO","YES")</f>
        <v>NO</v>
      </c>
      <c r="O341" s="35" t="s">
        <v>2858</v>
      </c>
      <c r="P341" s="35" t="s">
        <v>2858</v>
      </c>
    </row>
    <row r="342" spans="1:99" s="70" customFormat="1" ht="15" customHeight="1" x14ac:dyDescent="0.25">
      <c r="B342" s="70" t="s">
        <v>2087</v>
      </c>
      <c r="C342" s="37"/>
      <c r="D342" s="14" t="s">
        <v>467</v>
      </c>
      <c r="E342" s="15" t="s">
        <v>902</v>
      </c>
      <c r="F342" s="22" t="s">
        <v>1623</v>
      </c>
      <c r="G342" s="16" t="s">
        <v>1624</v>
      </c>
      <c r="H342" s="16" t="s">
        <v>1169</v>
      </c>
      <c r="I342" s="16" t="s">
        <v>2129</v>
      </c>
      <c r="J342" s="17">
        <v>39608</v>
      </c>
      <c r="K342" s="17">
        <v>45222</v>
      </c>
      <c r="L342" s="16" t="s">
        <v>1207</v>
      </c>
      <c r="M342" s="55" t="str">
        <f>IF(ISNA(VLOOKUP(D342,'[3]Table APOQUA files'!$B:$B,1,FALSE)),"NO","YES")</f>
        <v>YES</v>
      </c>
      <c r="N342" s="55" t="str">
        <f>IF(ISNA(VLOOKUP(D342,'Base PFR table'!K:K,1,FALSE)),"NO","YES")</f>
        <v>NO</v>
      </c>
      <c r="O342" s="35" t="s">
        <v>2858</v>
      </c>
      <c r="P342" s="35" t="s">
        <v>2858</v>
      </c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</row>
    <row r="343" spans="1:99" ht="15" customHeight="1" x14ac:dyDescent="0.25">
      <c r="B343" s="3" t="s">
        <v>2087</v>
      </c>
      <c r="D343" s="14" t="s">
        <v>60</v>
      </c>
      <c r="E343" s="15" t="s">
        <v>903</v>
      </c>
      <c r="F343" s="22" t="s">
        <v>1625</v>
      </c>
      <c r="G343" s="16" t="s">
        <v>1220</v>
      </c>
      <c r="H343" s="16" t="s">
        <v>1170</v>
      </c>
      <c r="I343" s="16" t="s">
        <v>2133</v>
      </c>
      <c r="J343" s="17">
        <v>39608</v>
      </c>
      <c r="K343" s="17">
        <v>41974</v>
      </c>
      <c r="L343" s="16" t="s">
        <v>1207</v>
      </c>
      <c r="M343" s="33" t="str">
        <f>IF(ISNA(VLOOKUP(D343,'[3]Table APOQUA files'!$B:$B,1,FALSE)),"NO","YES")</f>
        <v>YES</v>
      </c>
      <c r="N343" s="33" t="str">
        <f>IF(ISNA(VLOOKUP(D343,'Base PFR table'!K:K,1,FALSE)),"NO","YES")</f>
        <v>NO</v>
      </c>
      <c r="O343" s="35" t="s">
        <v>2858</v>
      </c>
      <c r="P343" s="35" t="s">
        <v>2858</v>
      </c>
    </row>
    <row r="344" spans="1:99" s="70" customFormat="1" ht="15" customHeight="1" x14ac:dyDescent="0.25">
      <c r="B344" s="70" t="s">
        <v>2087</v>
      </c>
      <c r="C344" s="37"/>
      <c r="D344" s="14" t="s">
        <v>269</v>
      </c>
      <c r="E344" s="15" t="s">
        <v>904</v>
      </c>
      <c r="F344" s="22" t="s">
        <v>1626</v>
      </c>
      <c r="G344" s="16" t="s">
        <v>1627</v>
      </c>
      <c r="H344" s="16" t="s">
        <v>608</v>
      </c>
      <c r="I344" s="16" t="s">
        <v>2123</v>
      </c>
      <c r="J344" s="17">
        <v>39608</v>
      </c>
      <c r="K344" s="17">
        <v>45426</v>
      </c>
      <c r="L344" s="16" t="s">
        <v>1207</v>
      </c>
      <c r="M344" s="55" t="str">
        <f>IF(ISNA(VLOOKUP(D344,'[3]Table APOQUA files'!$B:$B,1,FALSE)),"NO","YES")</f>
        <v>YES</v>
      </c>
      <c r="N344" s="55" t="str">
        <f>IF(ISNA(VLOOKUP(D344,'Base PFR table'!K:K,1,FALSE)),"NO","YES")</f>
        <v>YES</v>
      </c>
      <c r="O344" s="35" t="s">
        <v>2858</v>
      </c>
      <c r="P344" s="35" t="s">
        <v>2858</v>
      </c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</row>
    <row r="345" spans="1:99" ht="15" customHeight="1" x14ac:dyDescent="0.25">
      <c r="B345" s="69" t="s">
        <v>2087</v>
      </c>
      <c r="D345" s="1" t="s">
        <v>434</v>
      </c>
      <c r="E345" s="15" t="s">
        <v>905</v>
      </c>
      <c r="F345" s="20" t="s">
        <v>1628</v>
      </c>
      <c r="G345" s="9" t="s">
        <v>1238</v>
      </c>
      <c r="H345" s="9" t="s">
        <v>1172</v>
      </c>
      <c r="I345" s="9" t="s">
        <v>2130</v>
      </c>
      <c r="J345" s="10">
        <v>39608</v>
      </c>
      <c r="K345" s="10">
        <v>43234</v>
      </c>
      <c r="L345" s="9" t="s">
        <v>2843</v>
      </c>
      <c r="M345" s="33" t="str">
        <f>IF(ISNA(VLOOKUP(D345,'[3]Table APOQUA files'!$B:$B,1,FALSE)),"NO","YES")</f>
        <v>YES</v>
      </c>
      <c r="N345" s="33" t="str">
        <f>IF(ISNA(VLOOKUP(D345,'Base PFR table'!K:K,1,FALSE)),"NO","YES")</f>
        <v>NO</v>
      </c>
      <c r="O345" s="35" t="s">
        <v>2858</v>
      </c>
      <c r="P345" s="35" t="s">
        <v>2858</v>
      </c>
    </row>
    <row r="346" spans="1:99" ht="15" customHeight="1" x14ac:dyDescent="0.25">
      <c r="B346" s="72" t="s">
        <v>2087</v>
      </c>
      <c r="D346" s="1" t="s">
        <v>171</v>
      </c>
      <c r="E346" s="15" t="s">
        <v>906</v>
      </c>
      <c r="F346" s="20" t="s">
        <v>1629</v>
      </c>
      <c r="G346" s="9" t="s">
        <v>1315</v>
      </c>
      <c r="H346" s="9" t="s">
        <v>608</v>
      </c>
      <c r="I346" s="9" t="s">
        <v>2123</v>
      </c>
      <c r="J346" s="10">
        <v>39608</v>
      </c>
      <c r="K346" s="10">
        <v>45575</v>
      </c>
      <c r="L346" s="9" t="s">
        <v>1487</v>
      </c>
      <c r="M346" s="33" t="str">
        <f>IF(ISNA(VLOOKUP(D346,'[3]Table APOQUA files'!$B:$B,1,FALSE)),"NO","YES")</f>
        <v>YES</v>
      </c>
      <c r="N346" s="33" t="str">
        <f>IF(ISNA(VLOOKUP(D346,'Base PFR table'!K:K,1,FALSE)),"NO","YES")</f>
        <v>NO</v>
      </c>
      <c r="O346" s="35" t="s">
        <v>2858</v>
      </c>
      <c r="P346" s="35" t="s">
        <v>2858</v>
      </c>
    </row>
    <row r="347" spans="1:99" ht="15" customHeight="1" x14ac:dyDescent="0.25">
      <c r="B347" s="3" t="s">
        <v>2087</v>
      </c>
      <c r="D347" s="60" t="s">
        <v>337</v>
      </c>
      <c r="E347" s="56" t="s">
        <v>907</v>
      </c>
      <c r="F347" s="57" t="s">
        <v>1630</v>
      </c>
      <c r="G347" s="58" t="s">
        <v>1631</v>
      </c>
      <c r="H347" s="58" t="s">
        <v>608</v>
      </c>
      <c r="I347" s="58" t="s">
        <v>2122</v>
      </c>
      <c r="J347" s="59">
        <v>39608</v>
      </c>
      <c r="K347" s="59">
        <v>41325</v>
      </c>
      <c r="L347" s="58" t="s">
        <v>1207</v>
      </c>
      <c r="M347" s="33" t="str">
        <f>IF(ISNA(VLOOKUP(D347,'[3]Table APOQUA files'!$B:$B,1,FALSE)),"NO","YES")</f>
        <v>YES</v>
      </c>
      <c r="N347" s="33" t="str">
        <f>IF(ISNA(VLOOKUP(D347,'Base PFR table'!K:K,1,FALSE)),"NO","YES")</f>
        <v>NO</v>
      </c>
      <c r="O347" s="35" t="s">
        <v>2858</v>
      </c>
      <c r="P347" s="35" t="s">
        <v>2858</v>
      </c>
    </row>
    <row r="348" spans="1:99" ht="15" customHeight="1" x14ac:dyDescent="0.25">
      <c r="B348" s="3" t="s">
        <v>2087</v>
      </c>
      <c r="D348" s="60" t="s">
        <v>318</v>
      </c>
      <c r="E348" s="56" t="s">
        <v>908</v>
      </c>
      <c r="F348" s="57" t="s">
        <v>1632</v>
      </c>
      <c r="G348" s="58" t="s">
        <v>1633</v>
      </c>
      <c r="H348" s="58" t="s">
        <v>593</v>
      </c>
      <c r="I348" s="58" t="s">
        <v>2126</v>
      </c>
      <c r="J348" s="59">
        <v>39608</v>
      </c>
      <c r="K348" s="59">
        <v>41220</v>
      </c>
      <c r="L348" s="58" t="s">
        <v>1207</v>
      </c>
      <c r="M348" s="33" t="str">
        <f>IF(ISNA(VLOOKUP(D348,'[3]Table APOQUA files'!$B:$B,1,FALSE)),"NO","YES")</f>
        <v>YES</v>
      </c>
      <c r="N348" s="33" t="str">
        <f>IF(ISNA(VLOOKUP(D348,'Base PFR table'!K:K,1,FALSE)),"NO","YES")</f>
        <v>NO</v>
      </c>
      <c r="O348" s="35" t="s">
        <v>2858</v>
      </c>
      <c r="P348" s="35" t="s">
        <v>2858</v>
      </c>
    </row>
    <row r="349" spans="1:99" ht="15" customHeight="1" x14ac:dyDescent="0.25">
      <c r="B349" s="69" t="s">
        <v>2087</v>
      </c>
      <c r="D349" s="1" t="s">
        <v>420</v>
      </c>
      <c r="E349" s="15" t="s">
        <v>909</v>
      </c>
      <c r="F349" s="20" t="s">
        <v>1634</v>
      </c>
      <c r="G349" s="9" t="s">
        <v>1517</v>
      </c>
      <c r="H349" s="9" t="s">
        <v>1169</v>
      </c>
      <c r="I349" s="9" t="s">
        <v>2125</v>
      </c>
      <c r="J349" s="10">
        <v>39608</v>
      </c>
      <c r="K349" s="10">
        <v>45427</v>
      </c>
      <c r="L349" s="9" t="s">
        <v>1207</v>
      </c>
      <c r="M349" s="33" t="str">
        <f>IF(ISNA(VLOOKUP(D349,'[3]Table APOQUA files'!$B:$B,1,FALSE)),"NO","YES")</f>
        <v>YES</v>
      </c>
      <c r="N349" s="33" t="str">
        <f>IF(ISNA(VLOOKUP(D349,'Base PFR table'!K:K,1,FALSE)),"NO","YES")</f>
        <v>NO</v>
      </c>
      <c r="O349" s="35" t="s">
        <v>2858</v>
      </c>
      <c r="P349" s="35" t="s">
        <v>2858</v>
      </c>
    </row>
    <row r="350" spans="1:99" s="18" customFormat="1" ht="15" customHeight="1" x14ac:dyDescent="0.25">
      <c r="B350" s="18" t="s">
        <v>2087</v>
      </c>
      <c r="C350" s="67"/>
      <c r="D350" s="14" t="s">
        <v>247</v>
      </c>
      <c r="E350" s="15" t="s">
        <v>910</v>
      </c>
      <c r="F350" s="22" t="s">
        <v>1635</v>
      </c>
      <c r="G350" s="16" t="s">
        <v>1600</v>
      </c>
      <c r="H350" s="16" t="s">
        <v>1182</v>
      </c>
      <c r="I350" s="16" t="s">
        <v>2130</v>
      </c>
      <c r="J350" s="17">
        <v>39608</v>
      </c>
      <c r="K350" s="17">
        <v>45625</v>
      </c>
      <c r="L350" s="16" t="s">
        <v>1487</v>
      </c>
      <c r="M350" s="55" t="str">
        <f>IF(ISNA(VLOOKUP(D350,'[3]Table APOQUA files'!$B:$B,1,FALSE)),"NO","YES")</f>
        <v>YES</v>
      </c>
      <c r="N350" s="55" t="str">
        <f>IF(ISNA(VLOOKUP(D350,'Base PFR table'!K:K,1,FALSE)),"NO","YES")</f>
        <v>NO</v>
      </c>
      <c r="O350" s="35" t="s">
        <v>2858</v>
      </c>
      <c r="P350" s="35" t="s">
        <v>2858</v>
      </c>
    </row>
    <row r="351" spans="1:99" ht="15" customHeight="1" x14ac:dyDescent="0.25">
      <c r="B351" s="72" t="s">
        <v>2087</v>
      </c>
      <c r="D351" s="1" t="s">
        <v>151</v>
      </c>
      <c r="E351" s="15" t="s">
        <v>2795</v>
      </c>
      <c r="F351" s="20" t="s">
        <v>2796</v>
      </c>
      <c r="G351" s="9" t="s">
        <v>1581</v>
      </c>
      <c r="H351" s="9" t="s">
        <v>1171</v>
      </c>
      <c r="I351" s="9" t="s">
        <v>2129</v>
      </c>
      <c r="J351" s="10">
        <v>39608</v>
      </c>
      <c r="K351" s="10">
        <v>45618</v>
      </c>
      <c r="L351" s="16" t="s">
        <v>1487</v>
      </c>
      <c r="M351" s="33" t="str">
        <f>IF(ISNA(VLOOKUP(D351,'[3]Table APOQUA files'!$B:$B,1,FALSE)),"NO","YES")</f>
        <v>YES</v>
      </c>
      <c r="N351" s="33" t="str">
        <f>IF(ISNA(VLOOKUP(D351,'Base PFR table'!K:K,1,FALSE)),"NO","YES")</f>
        <v>NO</v>
      </c>
      <c r="O351" s="35" t="s">
        <v>2858</v>
      </c>
      <c r="P351" s="35" t="s">
        <v>2858</v>
      </c>
    </row>
    <row r="352" spans="1:99" ht="15" customHeight="1" x14ac:dyDescent="0.25">
      <c r="B352" s="3" t="s">
        <v>2087</v>
      </c>
      <c r="D352" s="60" t="s">
        <v>443</v>
      </c>
      <c r="E352" s="56" t="s">
        <v>911</v>
      </c>
      <c r="F352" s="57" t="s">
        <v>1208</v>
      </c>
      <c r="G352" s="58" t="s">
        <v>1600</v>
      </c>
      <c r="H352" s="58" t="s">
        <v>1182</v>
      </c>
      <c r="I352" s="58" t="s">
        <v>2129</v>
      </c>
      <c r="J352" s="59">
        <v>39608</v>
      </c>
      <c r="K352" s="59">
        <v>42562</v>
      </c>
      <c r="L352" s="58" t="s">
        <v>2843</v>
      </c>
      <c r="M352" s="33" t="str">
        <f>IF(ISNA(VLOOKUP(D352,'[3]Table APOQUA files'!$B:$B,1,FALSE)),"NO","YES")</f>
        <v>YES</v>
      </c>
      <c r="N352" s="33" t="str">
        <f>IF(ISNA(VLOOKUP(D352,'Base PFR table'!K:K,1,FALSE)),"NO","YES")</f>
        <v>NO</v>
      </c>
      <c r="O352" s="35" t="s">
        <v>2858</v>
      </c>
      <c r="P352" s="35" t="s">
        <v>2858</v>
      </c>
    </row>
    <row r="353" spans="1:16" ht="15" customHeight="1" x14ac:dyDescent="0.25">
      <c r="B353" s="72" t="s">
        <v>2087</v>
      </c>
      <c r="D353" s="1" t="s">
        <v>210</v>
      </c>
      <c r="E353" s="15" t="s">
        <v>912</v>
      </c>
      <c r="F353" s="20" t="s">
        <v>1637</v>
      </c>
      <c r="G353" s="9" t="s">
        <v>1638</v>
      </c>
      <c r="H353" s="9" t="s">
        <v>1177</v>
      </c>
      <c r="I353" s="9" t="s">
        <v>2123</v>
      </c>
      <c r="J353" s="10">
        <v>39608</v>
      </c>
      <c r="K353" s="10">
        <v>44319</v>
      </c>
      <c r="L353" s="9" t="s">
        <v>2843</v>
      </c>
      <c r="M353" s="33" t="str">
        <f>IF(ISNA(VLOOKUP(D353,'[3]Table APOQUA files'!$B:$B,1,FALSE)),"NO","YES")</f>
        <v>YES</v>
      </c>
      <c r="N353" s="33" t="str">
        <f>IF(ISNA(VLOOKUP(D353,'Base PFR table'!K:K,1,FALSE)),"NO","YES")</f>
        <v>NO</v>
      </c>
      <c r="O353" s="35" t="s">
        <v>2858</v>
      </c>
      <c r="P353" s="35" t="s">
        <v>2858</v>
      </c>
    </row>
    <row r="354" spans="1:16" ht="15" customHeight="1" x14ac:dyDescent="0.25">
      <c r="B354" s="70" t="s">
        <v>2087</v>
      </c>
      <c r="D354" s="1" t="s">
        <v>206</v>
      </c>
      <c r="E354" s="15" t="s">
        <v>913</v>
      </c>
      <c r="F354" s="20" t="s">
        <v>1639</v>
      </c>
      <c r="G354" s="9" t="s">
        <v>1640</v>
      </c>
      <c r="H354" s="9" t="s">
        <v>608</v>
      </c>
      <c r="I354" s="9" t="s">
        <v>2122</v>
      </c>
      <c r="J354" s="10">
        <v>39608</v>
      </c>
      <c r="K354" s="10">
        <v>44095</v>
      </c>
      <c r="L354" s="9" t="s">
        <v>2843</v>
      </c>
      <c r="M354" s="33" t="str">
        <f>IF(ISNA(VLOOKUP(D354,'[3]Table APOQUA files'!$B:$B,1,FALSE)),"NO","YES")</f>
        <v>YES</v>
      </c>
      <c r="N354" s="33" t="str">
        <f>IF(ISNA(VLOOKUP(D354,'Base PFR table'!K:K,1,FALSE)),"NO","YES")</f>
        <v>NO</v>
      </c>
      <c r="O354" s="35" t="s">
        <v>2858</v>
      </c>
      <c r="P354" s="35" t="s">
        <v>2858</v>
      </c>
    </row>
    <row r="355" spans="1:16" s="18" customFormat="1" ht="15" customHeight="1" x14ac:dyDescent="0.25">
      <c r="A355" s="70"/>
      <c r="B355" s="70" t="s">
        <v>2087</v>
      </c>
      <c r="C355" s="37"/>
      <c r="D355" s="14" t="s">
        <v>325</v>
      </c>
      <c r="E355" s="15" t="s">
        <v>914</v>
      </c>
      <c r="F355" s="22" t="s">
        <v>1641</v>
      </c>
      <c r="G355" s="16" t="s">
        <v>1642</v>
      </c>
      <c r="H355" s="16" t="s">
        <v>1171</v>
      </c>
      <c r="I355" s="16">
        <v>0</v>
      </c>
      <c r="J355" s="17">
        <v>39608</v>
      </c>
      <c r="K355" s="17">
        <v>39800</v>
      </c>
      <c r="L355" s="16" t="s">
        <v>1207</v>
      </c>
      <c r="M355" s="55" t="str">
        <f>IF(ISNA(VLOOKUP(D355,'[3]Table APOQUA files'!$B:$B,1,FALSE)),"NO","YES")</f>
        <v>YES</v>
      </c>
      <c r="N355" s="55" t="str">
        <f>IF(ISNA(VLOOKUP(D355,'Base PFR table'!K:K,1,FALSE)),"NO","YES")</f>
        <v>NO</v>
      </c>
      <c r="O355" s="35" t="s">
        <v>2858</v>
      </c>
      <c r="P355" s="35" t="s">
        <v>2858</v>
      </c>
    </row>
    <row r="356" spans="1:16" ht="15" customHeight="1" x14ac:dyDescent="0.25">
      <c r="B356" s="3" t="s">
        <v>2087</v>
      </c>
      <c r="D356" s="60" t="s">
        <v>172</v>
      </c>
      <c r="E356" s="56" t="s">
        <v>915</v>
      </c>
      <c r="F356" s="57" t="s">
        <v>1643</v>
      </c>
      <c r="G356" s="58" t="s">
        <v>1644</v>
      </c>
      <c r="H356" s="58" t="s">
        <v>1171</v>
      </c>
      <c r="I356" s="58">
        <v>0</v>
      </c>
      <c r="J356" s="59">
        <v>39608</v>
      </c>
      <c r="K356" s="59">
        <v>41479</v>
      </c>
      <c r="L356" s="58" t="s">
        <v>1209</v>
      </c>
      <c r="M356" s="33" t="str">
        <f>IF(ISNA(VLOOKUP(D356,'[3]Table APOQUA files'!$B:$B,1,FALSE)),"NO","YES")</f>
        <v>YES</v>
      </c>
      <c r="N356" s="33" t="str">
        <f>IF(ISNA(VLOOKUP(D356,'Base PFR table'!K:K,1,FALSE)),"NO","YES")</f>
        <v>NO</v>
      </c>
      <c r="O356" s="35" t="s">
        <v>2858</v>
      </c>
      <c r="P356" s="35" t="s">
        <v>2858</v>
      </c>
    </row>
    <row r="357" spans="1:16" ht="15" customHeight="1" x14ac:dyDescent="0.25">
      <c r="B357" s="3" t="s">
        <v>2087</v>
      </c>
      <c r="D357" s="60" t="s">
        <v>184</v>
      </c>
      <c r="E357" s="56" t="s">
        <v>916</v>
      </c>
      <c r="F357" s="57" t="s">
        <v>1645</v>
      </c>
      <c r="G357" s="58" t="s">
        <v>1255</v>
      </c>
      <c r="H357" s="58" t="s">
        <v>1177</v>
      </c>
      <c r="I357" s="58">
        <v>0</v>
      </c>
      <c r="J357" s="59">
        <v>39608</v>
      </c>
      <c r="K357" s="59">
        <v>43448</v>
      </c>
      <c r="L357" s="58" t="s">
        <v>2843</v>
      </c>
      <c r="M357" s="33" t="str">
        <f>IF(ISNA(VLOOKUP(D357,'[3]Table APOQUA files'!$B:$B,1,FALSE)),"NO","YES")</f>
        <v>YES</v>
      </c>
      <c r="N357" s="33" t="str">
        <f>IF(ISNA(VLOOKUP(D357,'Base PFR table'!K:K,1,FALSE)),"NO","YES")</f>
        <v>NO</v>
      </c>
      <c r="O357" s="35" t="s">
        <v>2858</v>
      </c>
      <c r="P357" s="35" t="s">
        <v>2858</v>
      </c>
    </row>
    <row r="358" spans="1:16" ht="15" customHeight="1" x14ac:dyDescent="0.25">
      <c r="B358" s="3" t="s">
        <v>2087</v>
      </c>
      <c r="D358" s="60" t="s">
        <v>334</v>
      </c>
      <c r="E358" s="56" t="s">
        <v>917</v>
      </c>
      <c r="F358" s="57" t="s">
        <v>1646</v>
      </c>
      <c r="G358" s="58" t="s">
        <v>1647</v>
      </c>
      <c r="H358" s="58" t="s">
        <v>593</v>
      </c>
      <c r="I358" s="58" t="s">
        <v>2131</v>
      </c>
      <c r="J358" s="59">
        <v>39608</v>
      </c>
      <c r="K358" s="59">
        <v>41225</v>
      </c>
      <c r="L358" s="58" t="s">
        <v>1207</v>
      </c>
      <c r="M358" s="33" t="str">
        <f>IF(ISNA(VLOOKUP(D358,'[3]Table APOQUA files'!$B:$B,1,FALSE)),"NO","YES")</f>
        <v>YES</v>
      </c>
      <c r="N358" s="33" t="str">
        <f>IF(ISNA(VLOOKUP(D358,'Base PFR table'!K:K,1,FALSE)),"NO","YES")</f>
        <v>NO</v>
      </c>
      <c r="O358" s="35" t="s">
        <v>2858</v>
      </c>
      <c r="P358" s="35" t="s">
        <v>2858</v>
      </c>
    </row>
    <row r="359" spans="1:16" ht="15" customHeight="1" x14ac:dyDescent="0.25">
      <c r="B359" s="72" t="s">
        <v>2087</v>
      </c>
      <c r="D359" s="1" t="s">
        <v>39</v>
      </c>
      <c r="E359" s="15" t="s">
        <v>918</v>
      </c>
      <c r="F359" s="20" t="s">
        <v>1648</v>
      </c>
      <c r="G359" s="9" t="s">
        <v>1468</v>
      </c>
      <c r="H359" s="9" t="s">
        <v>1173</v>
      </c>
      <c r="I359" s="9" t="s">
        <v>1186</v>
      </c>
      <c r="J359" s="10">
        <v>39608</v>
      </c>
      <c r="K359" s="10">
        <v>45218</v>
      </c>
      <c r="L359" s="9" t="s">
        <v>1209</v>
      </c>
      <c r="M359" s="33" t="str">
        <f>IF(ISNA(VLOOKUP(D359,'[3]Table APOQUA files'!$B:$B,1,FALSE)),"NO","YES")</f>
        <v>YES</v>
      </c>
      <c r="N359" s="33" t="str">
        <f>IF(ISNA(VLOOKUP(D359,'Base PFR table'!K:K,1,FALSE)),"NO","YES")</f>
        <v>NO</v>
      </c>
      <c r="O359" s="35" t="s">
        <v>2858</v>
      </c>
      <c r="P359" s="35" t="s">
        <v>2858</v>
      </c>
    </row>
    <row r="360" spans="1:16" s="18" customFormat="1" ht="15" customHeight="1" x14ac:dyDescent="0.25">
      <c r="B360" s="72" t="s">
        <v>2087</v>
      </c>
      <c r="C360" s="67"/>
      <c r="D360" s="14" t="s">
        <v>70</v>
      </c>
      <c r="E360" s="15" t="s">
        <v>919</v>
      </c>
      <c r="F360" s="22" t="s">
        <v>1649</v>
      </c>
      <c r="G360" s="16" t="s">
        <v>1296</v>
      </c>
      <c r="H360" s="16" t="s">
        <v>1178</v>
      </c>
      <c r="I360" s="16" t="s">
        <v>1186</v>
      </c>
      <c r="J360" s="17">
        <v>39608</v>
      </c>
      <c r="K360" s="17">
        <v>44319</v>
      </c>
      <c r="L360" s="16" t="s">
        <v>2843</v>
      </c>
      <c r="M360" s="55" t="str">
        <f>IF(ISNA(VLOOKUP(D360,'[3]Table APOQUA files'!$B:$B,1,FALSE)),"NO","YES")</f>
        <v>YES</v>
      </c>
      <c r="N360" s="55" t="str">
        <f>IF(ISNA(VLOOKUP(D360,'Base PFR table'!K:K,1,FALSE)),"NO","YES")</f>
        <v>NO</v>
      </c>
      <c r="O360" s="35" t="s">
        <v>2858</v>
      </c>
      <c r="P360" s="35" t="s">
        <v>2858</v>
      </c>
    </row>
    <row r="361" spans="1:16" ht="15" customHeight="1" x14ac:dyDescent="0.25">
      <c r="B361" s="3" t="s">
        <v>2087</v>
      </c>
      <c r="D361" s="60" t="s">
        <v>428</v>
      </c>
      <c r="E361" s="56" t="s">
        <v>920</v>
      </c>
      <c r="F361" s="57" t="s">
        <v>1650</v>
      </c>
      <c r="G361" s="58" t="s">
        <v>1211</v>
      </c>
      <c r="H361" s="58" t="s">
        <v>1169</v>
      </c>
      <c r="I361" s="58" t="s">
        <v>2125</v>
      </c>
      <c r="J361" s="59">
        <v>39608</v>
      </c>
      <c r="K361" s="59">
        <v>43360</v>
      </c>
      <c r="L361" s="58" t="s">
        <v>2843</v>
      </c>
      <c r="M361" s="33" t="str">
        <f>IF(ISNA(VLOOKUP(D361,'[3]Table APOQUA files'!$B:$B,1,FALSE)),"NO","YES")</f>
        <v>YES</v>
      </c>
      <c r="N361" s="33" t="str">
        <f>IF(ISNA(VLOOKUP(D361,'Base PFR table'!K:K,1,FALSE)),"NO","YES")</f>
        <v>NO</v>
      </c>
      <c r="O361" s="35" t="s">
        <v>2858</v>
      </c>
      <c r="P361" s="35" t="s">
        <v>2858</v>
      </c>
    </row>
    <row r="362" spans="1:16" ht="15" customHeight="1" x14ac:dyDescent="0.25">
      <c r="B362" s="72" t="s">
        <v>2087</v>
      </c>
      <c r="D362" s="1" t="s">
        <v>202</v>
      </c>
      <c r="E362" s="15" t="s">
        <v>921</v>
      </c>
      <c r="F362" s="20" t="s">
        <v>1651</v>
      </c>
      <c r="G362" s="9" t="s">
        <v>1211</v>
      </c>
      <c r="H362" s="9" t="s">
        <v>1169</v>
      </c>
      <c r="I362" s="9" t="s">
        <v>2125</v>
      </c>
      <c r="J362" s="10">
        <v>39608</v>
      </c>
      <c r="K362" s="10">
        <v>45621</v>
      </c>
      <c r="L362" s="16" t="s">
        <v>1487</v>
      </c>
      <c r="M362" s="33" t="str">
        <f>IF(ISNA(VLOOKUP(D362,'[3]Table APOQUA files'!$B:$B,1,FALSE)),"NO","YES")</f>
        <v>YES</v>
      </c>
      <c r="N362" s="33" t="str">
        <f>IF(ISNA(VLOOKUP(D362,'Base PFR table'!K:K,1,FALSE)),"NO","YES")</f>
        <v>NO</v>
      </c>
      <c r="O362" s="35" t="s">
        <v>2858</v>
      </c>
      <c r="P362" s="35" t="s">
        <v>2858</v>
      </c>
    </row>
    <row r="363" spans="1:16" s="18" customFormat="1" ht="15" customHeight="1" x14ac:dyDescent="0.25">
      <c r="A363" s="70"/>
      <c r="B363" s="70" t="s">
        <v>2087</v>
      </c>
      <c r="C363" s="37"/>
      <c r="D363" s="96" t="s">
        <v>150</v>
      </c>
      <c r="E363" s="97" t="s">
        <v>922</v>
      </c>
      <c r="F363" s="98" t="s">
        <v>1652</v>
      </c>
      <c r="G363" s="99" t="s">
        <v>1302</v>
      </c>
      <c r="H363" s="99" t="s">
        <v>1171</v>
      </c>
      <c r="I363" s="99" t="s">
        <v>2129</v>
      </c>
      <c r="J363" s="100">
        <v>39608</v>
      </c>
      <c r="K363" s="100">
        <v>45236</v>
      </c>
      <c r="L363" s="99" t="s">
        <v>2645</v>
      </c>
      <c r="M363" s="55" t="str">
        <f>IF(ISNA(VLOOKUP(D363,'[3]Table APOQUA files'!$B:$B,1,FALSE)),"NO","YES")</f>
        <v>YES</v>
      </c>
      <c r="N363" s="55" t="str">
        <f>IF(ISNA(VLOOKUP(D363,'Base PFR table'!K:K,1,FALSE)),"NO","YES")</f>
        <v>NO</v>
      </c>
      <c r="O363" s="3" t="s">
        <v>2857</v>
      </c>
      <c r="P363" s="3" t="s">
        <v>2857</v>
      </c>
    </row>
    <row r="364" spans="1:16" ht="15" customHeight="1" x14ac:dyDescent="0.25">
      <c r="B364" s="69" t="s">
        <v>2087</v>
      </c>
      <c r="D364" s="1" t="s">
        <v>96</v>
      </c>
      <c r="E364" s="15" t="s">
        <v>923</v>
      </c>
      <c r="F364" s="20" t="s">
        <v>1653</v>
      </c>
      <c r="G364" s="9" t="s">
        <v>1654</v>
      </c>
      <c r="H364" s="9" t="s">
        <v>1179</v>
      </c>
      <c r="I364" s="9" t="s">
        <v>2129</v>
      </c>
      <c r="J364" s="10">
        <v>39608</v>
      </c>
      <c r="K364" s="10">
        <v>44361</v>
      </c>
      <c r="L364" s="9" t="s">
        <v>2843</v>
      </c>
      <c r="M364" s="33" t="str">
        <f>IF(ISNA(VLOOKUP(D364,'[3]Table APOQUA files'!$B:$B,1,FALSE)),"NO","YES")</f>
        <v>YES</v>
      </c>
      <c r="N364" s="33" t="str">
        <f>IF(ISNA(VLOOKUP(D364,'Base PFR table'!K:K,1,FALSE)),"NO","YES")</f>
        <v>NO</v>
      </c>
      <c r="O364" s="35" t="s">
        <v>2858</v>
      </c>
      <c r="P364" s="35" t="s">
        <v>2858</v>
      </c>
    </row>
    <row r="365" spans="1:16" ht="15" customHeight="1" x14ac:dyDescent="0.25">
      <c r="D365" s="60" t="s">
        <v>5</v>
      </c>
      <c r="E365" s="56" t="s">
        <v>924</v>
      </c>
      <c r="F365" s="57" t="s">
        <v>1208</v>
      </c>
      <c r="G365" s="58" t="s">
        <v>1655</v>
      </c>
      <c r="H365" s="58" t="s">
        <v>1185</v>
      </c>
      <c r="I365" s="58" t="s">
        <v>2129</v>
      </c>
      <c r="J365" s="59">
        <v>39608</v>
      </c>
      <c r="K365" s="59">
        <v>43250</v>
      </c>
      <c r="L365" s="58" t="s">
        <v>2675</v>
      </c>
      <c r="M365" s="33" t="str">
        <f>IF(ISNA(VLOOKUP(D365,'[3]Table APOQUA files'!$B:$B,1,FALSE)),"NO","YES")</f>
        <v>YES</v>
      </c>
      <c r="N365" s="33" t="str">
        <f>IF(ISNA(VLOOKUP(D365,'Base PFR table'!K:K,1,FALSE)),"NO","YES")</f>
        <v>NO</v>
      </c>
      <c r="O365" s="35" t="s">
        <v>2858</v>
      </c>
      <c r="P365" s="35" t="s">
        <v>2858</v>
      </c>
    </row>
    <row r="366" spans="1:16" ht="15" customHeight="1" x14ac:dyDescent="0.25">
      <c r="D366" s="60" t="s">
        <v>6</v>
      </c>
      <c r="E366" s="56" t="s">
        <v>925</v>
      </c>
      <c r="F366" s="57" t="s">
        <v>1208</v>
      </c>
      <c r="G366" s="58" t="s">
        <v>1656</v>
      </c>
      <c r="H366" s="58" t="s">
        <v>1182</v>
      </c>
      <c r="I366" s="58" t="s">
        <v>2129</v>
      </c>
      <c r="J366" s="59">
        <v>39608</v>
      </c>
      <c r="K366" s="59">
        <v>43187</v>
      </c>
      <c r="L366" s="58" t="s">
        <v>2843</v>
      </c>
      <c r="M366" s="33" t="str">
        <f>IF(ISNA(VLOOKUP(D366,'[3]Table APOQUA files'!$B:$B,1,FALSE)),"NO","YES")</f>
        <v>YES</v>
      </c>
      <c r="N366" s="33" t="str">
        <f>IF(ISNA(VLOOKUP(D366,'Base PFR table'!K:K,1,FALSE)),"NO","YES")</f>
        <v>NO</v>
      </c>
      <c r="O366" s="35" t="s">
        <v>2858</v>
      </c>
      <c r="P366" s="35" t="s">
        <v>2858</v>
      </c>
    </row>
    <row r="367" spans="1:16" s="18" customFormat="1" ht="15" customHeight="1" x14ac:dyDescent="0.25">
      <c r="A367" s="70"/>
      <c r="B367" s="70" t="s">
        <v>2087</v>
      </c>
      <c r="C367" s="37"/>
      <c r="D367" s="14" t="s">
        <v>394</v>
      </c>
      <c r="E367" s="15" t="s">
        <v>926</v>
      </c>
      <c r="F367" s="22" t="s">
        <v>1657</v>
      </c>
      <c r="G367" s="16" t="s">
        <v>1658</v>
      </c>
      <c r="H367" s="16" t="s">
        <v>1169</v>
      </c>
      <c r="I367" s="16" t="s">
        <v>2129</v>
      </c>
      <c r="J367" s="17">
        <v>39608</v>
      </c>
      <c r="K367" s="17">
        <v>43619</v>
      </c>
      <c r="L367" s="16" t="s">
        <v>2843</v>
      </c>
      <c r="M367" s="55" t="str">
        <f>IF(ISNA(VLOOKUP(D367,'[3]Table APOQUA files'!$B:$B,1,FALSE)),"NO","YES")</f>
        <v>YES</v>
      </c>
      <c r="N367" s="55" t="str">
        <f>IF(ISNA(VLOOKUP(D367,'Base PFR table'!K:K,1,FALSE)),"NO","YES")</f>
        <v>NO</v>
      </c>
      <c r="O367" s="35" t="s">
        <v>2858</v>
      </c>
      <c r="P367" s="35" t="s">
        <v>2858</v>
      </c>
    </row>
    <row r="368" spans="1:16" ht="15" customHeight="1" x14ac:dyDescent="0.25">
      <c r="D368" s="60" t="s">
        <v>111</v>
      </c>
      <c r="E368" s="56" t="s">
        <v>927</v>
      </c>
      <c r="F368" s="57" t="s">
        <v>1208</v>
      </c>
      <c r="G368" s="58" t="s">
        <v>1208</v>
      </c>
      <c r="H368" s="58" t="s">
        <v>539</v>
      </c>
      <c r="I368" s="58" t="s">
        <v>2130</v>
      </c>
      <c r="J368" s="59">
        <v>39608</v>
      </c>
      <c r="K368" s="59">
        <v>40218</v>
      </c>
      <c r="L368" s="58" t="s">
        <v>2843</v>
      </c>
      <c r="M368" s="33" t="str">
        <f>IF(ISNA(VLOOKUP(D368,'[3]Table APOQUA files'!$B:$B,1,FALSE)),"NO","YES")</f>
        <v>YES</v>
      </c>
      <c r="N368" s="33" t="str">
        <f>IF(ISNA(VLOOKUP(D368,'Base PFR table'!K:K,1,FALSE)),"NO","YES")</f>
        <v>NO</v>
      </c>
      <c r="O368" s="35" t="s">
        <v>2858</v>
      </c>
      <c r="P368" s="35" t="s">
        <v>2858</v>
      </c>
    </row>
    <row r="369" spans="1:104" ht="15" customHeight="1" x14ac:dyDescent="0.25">
      <c r="B369" s="69" t="s">
        <v>2087</v>
      </c>
      <c r="C369" s="3"/>
      <c r="D369" s="1" t="s">
        <v>147</v>
      </c>
      <c r="E369" s="15" t="s">
        <v>928</v>
      </c>
      <c r="F369" s="20" t="s">
        <v>1659</v>
      </c>
      <c r="G369" s="9" t="s">
        <v>1292</v>
      </c>
      <c r="H369" s="9" t="s">
        <v>1176</v>
      </c>
      <c r="I369" s="9" t="s">
        <v>2130</v>
      </c>
      <c r="J369" s="10">
        <v>39608</v>
      </c>
      <c r="K369" s="10">
        <v>43999</v>
      </c>
      <c r="L369" s="9" t="s">
        <v>2843</v>
      </c>
      <c r="M369" s="33" t="str">
        <f>IF(ISNA(VLOOKUP(D369,'[3]Table APOQUA files'!$B:$B,1,FALSE)),"NO","YES")</f>
        <v>YES</v>
      </c>
      <c r="N369" s="33" t="str">
        <f>IF(ISNA(VLOOKUP(D369,'Base PFR table'!K:K,1,FALSE)),"NO","YES")</f>
        <v>NO</v>
      </c>
      <c r="O369" s="35" t="s">
        <v>2858</v>
      </c>
      <c r="P369" s="35" t="s">
        <v>2858</v>
      </c>
    </row>
    <row r="370" spans="1:104" s="18" customFormat="1" ht="15" customHeight="1" x14ac:dyDescent="0.25">
      <c r="B370" s="18" t="s">
        <v>2087</v>
      </c>
      <c r="D370" s="14" t="s">
        <v>381</v>
      </c>
      <c r="E370" s="15" t="s">
        <v>929</v>
      </c>
      <c r="F370" s="22" t="s">
        <v>1660</v>
      </c>
      <c r="G370" s="16" t="s">
        <v>1661</v>
      </c>
      <c r="H370" s="16" t="s">
        <v>1180</v>
      </c>
      <c r="I370" s="16" t="s">
        <v>1186</v>
      </c>
      <c r="J370" s="17">
        <v>39608</v>
      </c>
      <c r="K370" s="17">
        <v>42804</v>
      </c>
      <c r="L370" s="9" t="s">
        <v>2843</v>
      </c>
      <c r="M370" s="55" t="str">
        <f>IF(ISNA(VLOOKUP(D370,'[3]Table APOQUA files'!$B:$B,1,FALSE)),"NO","YES")</f>
        <v>YES</v>
      </c>
      <c r="N370" s="55" t="str">
        <f>IF(ISNA(VLOOKUP(D370,'Base PFR table'!K:K,1,FALSE)),"NO","YES")</f>
        <v>NO</v>
      </c>
      <c r="O370" s="35" t="s">
        <v>2858</v>
      </c>
      <c r="P370" s="35" t="s">
        <v>2858</v>
      </c>
    </row>
    <row r="371" spans="1:104" s="70" customFormat="1" ht="15" customHeight="1" x14ac:dyDescent="0.25">
      <c r="B371" s="70" t="s">
        <v>2087</v>
      </c>
      <c r="D371" s="14" t="s">
        <v>339</v>
      </c>
      <c r="E371" s="15" t="s">
        <v>930</v>
      </c>
      <c r="F371" s="22" t="s">
        <v>1662</v>
      </c>
      <c r="G371" s="16" t="s">
        <v>1218</v>
      </c>
      <c r="H371" s="16" t="s">
        <v>593</v>
      </c>
      <c r="I371" s="16" t="s">
        <v>2126</v>
      </c>
      <c r="J371" s="17">
        <v>39608</v>
      </c>
      <c r="K371" s="17">
        <v>45222</v>
      </c>
      <c r="L371" s="16" t="s">
        <v>2843</v>
      </c>
      <c r="M371" s="55" t="str">
        <f>IF(ISNA(VLOOKUP(D371,'[3]Table APOQUA files'!$B:$B,1,FALSE)),"NO","YES")</f>
        <v>YES</v>
      </c>
      <c r="N371" s="55" t="str">
        <f>IF(ISNA(VLOOKUP(D371,'Base PFR table'!K:K,1,FALSE)),"NO","YES")</f>
        <v>NO</v>
      </c>
      <c r="O371" s="35" t="s">
        <v>2858</v>
      </c>
      <c r="P371" s="35" t="s">
        <v>2858</v>
      </c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</row>
    <row r="372" spans="1:104" ht="15" customHeight="1" x14ac:dyDescent="0.25">
      <c r="B372" s="72" t="s">
        <v>2087</v>
      </c>
      <c r="C372" s="3"/>
      <c r="D372" s="1" t="s">
        <v>177</v>
      </c>
      <c r="E372" s="15" t="s">
        <v>931</v>
      </c>
      <c r="F372" s="20" t="s">
        <v>1663</v>
      </c>
      <c r="G372" s="9" t="s">
        <v>1664</v>
      </c>
      <c r="H372" s="9" t="s">
        <v>593</v>
      </c>
      <c r="I372" s="9" t="s">
        <v>2126</v>
      </c>
      <c r="J372" s="10">
        <v>39608</v>
      </c>
      <c r="K372" s="10">
        <v>44319</v>
      </c>
      <c r="L372" s="9" t="s">
        <v>2843</v>
      </c>
      <c r="M372" s="33" t="str">
        <f>IF(ISNA(VLOOKUP(D372,'[3]Table APOQUA files'!$B:$B,1,FALSE)),"NO","YES")</f>
        <v>YES</v>
      </c>
      <c r="N372" s="33" t="str">
        <f>IF(ISNA(VLOOKUP(D372,'Base PFR table'!K:K,1,FALSE)),"NO","YES")</f>
        <v>NO</v>
      </c>
      <c r="O372" s="35" t="s">
        <v>2858</v>
      </c>
      <c r="P372" s="35" t="s">
        <v>2858</v>
      </c>
    </row>
    <row r="373" spans="1:104" s="18" customFormat="1" ht="15" customHeight="1" x14ac:dyDescent="0.25">
      <c r="B373" s="18" t="s">
        <v>2087</v>
      </c>
      <c r="D373" s="14" t="s">
        <v>392</v>
      </c>
      <c r="E373" s="15" t="s">
        <v>1195</v>
      </c>
      <c r="F373" s="22" t="s">
        <v>1665</v>
      </c>
      <c r="G373" s="16" t="s">
        <v>1666</v>
      </c>
      <c r="H373" s="16" t="s">
        <v>1169</v>
      </c>
      <c r="I373" s="16" t="s">
        <v>2125</v>
      </c>
      <c r="J373" s="17">
        <v>39608</v>
      </c>
      <c r="K373" s="17">
        <v>43363</v>
      </c>
      <c r="L373" s="9" t="s">
        <v>2843</v>
      </c>
      <c r="M373" s="55" t="str">
        <f>IF(ISNA(VLOOKUP(D373,'[3]Table APOQUA files'!$B:$B,1,FALSE)),"NO","YES")</f>
        <v>YES</v>
      </c>
      <c r="N373" s="55" t="str">
        <f>IF(ISNA(VLOOKUP(D373,'Base PFR table'!K:K,1,FALSE)),"NO","YES")</f>
        <v>NO</v>
      </c>
      <c r="O373" s="35" t="s">
        <v>2858</v>
      </c>
      <c r="P373" s="35" t="s">
        <v>2858</v>
      </c>
    </row>
    <row r="374" spans="1:104" ht="15" customHeight="1" x14ac:dyDescent="0.25">
      <c r="B374" s="72" t="s">
        <v>2087</v>
      </c>
      <c r="C374" s="3"/>
      <c r="D374" s="1" t="s">
        <v>384</v>
      </c>
      <c r="E374" s="15" t="s">
        <v>932</v>
      </c>
      <c r="F374" s="20" t="s">
        <v>1667</v>
      </c>
      <c r="G374" s="9" t="s">
        <v>1496</v>
      </c>
      <c r="H374" s="9" t="s">
        <v>1176</v>
      </c>
      <c r="I374" s="9" t="s">
        <v>2130</v>
      </c>
      <c r="J374" s="10">
        <v>39608</v>
      </c>
      <c r="K374" s="10">
        <v>44319</v>
      </c>
      <c r="L374" s="9" t="s">
        <v>1207</v>
      </c>
      <c r="M374" s="33" t="str">
        <f>IF(ISNA(VLOOKUP(D374,'[3]Table APOQUA files'!$B:$B,1,FALSE)),"NO","YES")</f>
        <v>YES</v>
      </c>
      <c r="N374" s="33" t="str">
        <f>IF(ISNA(VLOOKUP(D374,'Base PFR table'!K:K,1,FALSE)),"NO","YES")</f>
        <v>NO</v>
      </c>
      <c r="O374" s="35" t="s">
        <v>2858</v>
      </c>
      <c r="P374" s="35" t="s">
        <v>2858</v>
      </c>
    </row>
    <row r="375" spans="1:104" s="18" customFormat="1" ht="15" customHeight="1" x14ac:dyDescent="0.25">
      <c r="B375" s="75" t="s">
        <v>2087</v>
      </c>
      <c r="D375" s="14" t="s">
        <v>395</v>
      </c>
      <c r="E375" s="15" t="s">
        <v>933</v>
      </c>
      <c r="F375" s="22" t="s">
        <v>1668</v>
      </c>
      <c r="G375" s="16" t="s">
        <v>1669</v>
      </c>
      <c r="H375" s="16" t="s">
        <v>593</v>
      </c>
      <c r="I375" s="16" t="s">
        <v>2123</v>
      </c>
      <c r="J375" s="17">
        <v>39608</v>
      </c>
      <c r="K375" s="17">
        <v>40917</v>
      </c>
      <c r="L375" s="16" t="s">
        <v>2843</v>
      </c>
      <c r="M375" s="55" t="str">
        <f>IF(ISNA(VLOOKUP(D375,'[3]Table APOQUA files'!$B:$B,1,FALSE)),"NO","YES")</f>
        <v>YES</v>
      </c>
      <c r="N375" s="55" t="str">
        <f>IF(ISNA(VLOOKUP(D375,'Base PFR table'!K:K,1,FALSE)),"NO","YES")</f>
        <v>NO</v>
      </c>
      <c r="O375" s="35" t="s">
        <v>2858</v>
      </c>
      <c r="P375" s="35" t="s">
        <v>2858</v>
      </c>
    </row>
    <row r="376" spans="1:104" ht="15" customHeight="1" x14ac:dyDescent="0.25">
      <c r="C376" s="3" t="s">
        <v>2087</v>
      </c>
      <c r="D376" s="60" t="s">
        <v>128</v>
      </c>
      <c r="E376" s="56" t="s">
        <v>934</v>
      </c>
      <c r="F376" s="57" t="s">
        <v>1208</v>
      </c>
      <c r="G376" s="58" t="s">
        <v>1321</v>
      </c>
      <c r="H376" s="58" t="s">
        <v>1174</v>
      </c>
      <c r="I376" s="58" t="s">
        <v>2130</v>
      </c>
      <c r="J376" s="59">
        <v>39608</v>
      </c>
      <c r="K376" s="59">
        <v>43229</v>
      </c>
      <c r="L376" s="58" t="s">
        <v>2843</v>
      </c>
      <c r="M376" s="33" t="str">
        <f>IF(ISNA(VLOOKUP(D376,'[3]Table APOQUA files'!$B:$B,1,FALSE)),"NO","YES")</f>
        <v>YES</v>
      </c>
      <c r="N376" s="33" t="str">
        <f>IF(ISNA(VLOOKUP(D376,'Base PFR table'!K:K,1,FALSE)),"NO","YES")</f>
        <v>NO</v>
      </c>
      <c r="O376" s="35" t="s">
        <v>2858</v>
      </c>
      <c r="P376" s="35" t="s">
        <v>2858</v>
      </c>
    </row>
    <row r="377" spans="1:104" ht="15" customHeight="1" x14ac:dyDescent="0.25">
      <c r="C377" s="3" t="s">
        <v>2087</v>
      </c>
      <c r="D377" s="60" t="s">
        <v>302</v>
      </c>
      <c r="E377" s="56" t="s">
        <v>935</v>
      </c>
      <c r="F377" s="57" t="s">
        <v>1208</v>
      </c>
      <c r="G377" s="58" t="s">
        <v>1670</v>
      </c>
      <c r="H377" s="58" t="s">
        <v>1174</v>
      </c>
      <c r="I377" s="58" t="s">
        <v>2129</v>
      </c>
      <c r="J377" s="59">
        <v>39608</v>
      </c>
      <c r="K377" s="59">
        <v>43147</v>
      </c>
      <c r="L377" s="58" t="s">
        <v>2843</v>
      </c>
      <c r="M377" s="33" t="str">
        <f>IF(ISNA(VLOOKUP(D377,'[3]Table APOQUA files'!$B:$B,1,FALSE)),"NO","YES")</f>
        <v>YES</v>
      </c>
      <c r="N377" s="33" t="str">
        <f>IF(ISNA(VLOOKUP(D377,'Base PFR table'!K:K,1,FALSE)),"NO","YES")</f>
        <v>NO</v>
      </c>
      <c r="O377" s="35" t="s">
        <v>2858</v>
      </c>
      <c r="P377" s="35" t="s">
        <v>2858</v>
      </c>
    </row>
    <row r="378" spans="1:104" ht="15" customHeight="1" x14ac:dyDescent="0.25">
      <c r="C378" s="3" t="s">
        <v>2087</v>
      </c>
      <c r="D378" s="60" t="s">
        <v>369</v>
      </c>
      <c r="E378" s="56" t="s">
        <v>936</v>
      </c>
      <c r="F378" s="57" t="s">
        <v>1208</v>
      </c>
      <c r="G378" s="58" t="s">
        <v>1671</v>
      </c>
      <c r="H378" s="58" t="s">
        <v>1182</v>
      </c>
      <c r="I378" s="58">
        <v>0</v>
      </c>
      <c r="J378" s="59">
        <v>39608</v>
      </c>
      <c r="K378" s="59">
        <v>43276</v>
      </c>
      <c r="L378" s="58" t="s">
        <v>2843</v>
      </c>
      <c r="M378" s="33" t="str">
        <f>IF(ISNA(VLOOKUP(D378,'[3]Table APOQUA files'!$B:$B,1,FALSE)),"NO","YES")</f>
        <v>YES</v>
      </c>
      <c r="N378" s="33" t="str">
        <f>IF(ISNA(VLOOKUP(D378,'Base PFR table'!K:K,1,FALSE)),"NO","YES")</f>
        <v>NO</v>
      </c>
      <c r="O378" s="35" t="s">
        <v>2858</v>
      </c>
      <c r="P378" s="35" t="s">
        <v>2858</v>
      </c>
    </row>
    <row r="379" spans="1:104" ht="15" customHeight="1" x14ac:dyDescent="0.25">
      <c r="C379" s="3" t="s">
        <v>2087</v>
      </c>
      <c r="D379" s="60" t="s">
        <v>4</v>
      </c>
      <c r="E379" s="56" t="s">
        <v>937</v>
      </c>
      <c r="F379" s="57" t="s">
        <v>1208</v>
      </c>
      <c r="G379" s="58" t="s">
        <v>1372</v>
      </c>
      <c r="H379" s="58" t="s">
        <v>1169</v>
      </c>
      <c r="I379" s="58" t="s">
        <v>2125</v>
      </c>
      <c r="J379" s="59">
        <v>39608</v>
      </c>
      <c r="K379" s="59">
        <v>40884</v>
      </c>
      <c r="L379" s="58" t="s">
        <v>2843</v>
      </c>
      <c r="M379" s="33" t="str">
        <f>IF(ISNA(VLOOKUP(D379,'[3]Table APOQUA files'!$B:$B,1,FALSE)),"NO","YES")</f>
        <v>YES</v>
      </c>
      <c r="N379" s="33" t="str">
        <f>IF(ISNA(VLOOKUP(D379,'Base PFR table'!K:K,1,FALSE)),"NO","YES")</f>
        <v>NO</v>
      </c>
      <c r="O379" s="35" t="s">
        <v>2858</v>
      </c>
      <c r="P379" s="35" t="s">
        <v>2858</v>
      </c>
    </row>
    <row r="380" spans="1:104" s="18" customFormat="1" ht="13.5" customHeight="1" x14ac:dyDescent="0.25">
      <c r="B380" s="69" t="s">
        <v>2087</v>
      </c>
      <c r="D380" s="14" t="s">
        <v>211</v>
      </c>
      <c r="E380" s="15" t="s">
        <v>938</v>
      </c>
      <c r="F380" s="22" t="s">
        <v>1672</v>
      </c>
      <c r="G380" s="16" t="s">
        <v>1638</v>
      </c>
      <c r="H380" s="16" t="s">
        <v>1177</v>
      </c>
      <c r="I380" s="16" t="s">
        <v>2123</v>
      </c>
      <c r="J380" s="17">
        <v>39608</v>
      </c>
      <c r="K380" s="17">
        <v>42990</v>
      </c>
      <c r="L380" s="16" t="s">
        <v>1209</v>
      </c>
      <c r="M380" s="55" t="str">
        <f>IF(ISNA(VLOOKUP(D380,'[3]Table APOQUA files'!$B:$B,1,FALSE)),"NO","YES")</f>
        <v>YES</v>
      </c>
      <c r="N380" s="55" t="str">
        <f>IF(ISNA(VLOOKUP(D380,'Base PFR table'!K:K,1,FALSE)),"NO","YES")</f>
        <v>NO</v>
      </c>
      <c r="O380" s="35" t="s">
        <v>2858</v>
      </c>
      <c r="P380" s="35" t="s">
        <v>2858</v>
      </c>
    </row>
    <row r="381" spans="1:104" ht="15" customHeight="1" x14ac:dyDescent="0.25">
      <c r="C381" s="3" t="s">
        <v>2087</v>
      </c>
      <c r="D381" s="60" t="s">
        <v>421</v>
      </c>
      <c r="E381" s="56" t="s">
        <v>939</v>
      </c>
      <c r="F381" s="57" t="s">
        <v>1208</v>
      </c>
      <c r="G381" s="58" t="s">
        <v>1321</v>
      </c>
      <c r="H381" s="58" t="s">
        <v>1174</v>
      </c>
      <c r="I381" s="58">
        <v>0</v>
      </c>
      <c r="J381" s="59">
        <v>39608</v>
      </c>
      <c r="K381" s="59">
        <v>41676</v>
      </c>
      <c r="L381" s="58" t="s">
        <v>2675</v>
      </c>
      <c r="M381" s="33" t="str">
        <f>IF(ISNA(VLOOKUP(D381,'[3]Table APOQUA files'!$B:$B,1,FALSE)),"NO","YES")</f>
        <v>YES</v>
      </c>
      <c r="N381" s="33" t="str">
        <f>IF(ISNA(VLOOKUP(D381,'Base PFR table'!K:K,1,FALSE)),"NO","YES")</f>
        <v>NO</v>
      </c>
      <c r="O381" s="35" t="s">
        <v>2858</v>
      </c>
      <c r="P381" s="35" t="s">
        <v>2858</v>
      </c>
    </row>
    <row r="382" spans="1:104" s="70" customFormat="1" ht="15" customHeight="1" x14ac:dyDescent="0.25">
      <c r="B382" s="70" t="s">
        <v>2087</v>
      </c>
      <c r="D382" s="14" t="s">
        <v>170</v>
      </c>
      <c r="E382" s="15" t="s">
        <v>940</v>
      </c>
      <c r="F382" s="22" t="s">
        <v>1673</v>
      </c>
      <c r="G382" s="16" t="s">
        <v>1674</v>
      </c>
      <c r="H382" s="16" t="s">
        <v>1174</v>
      </c>
      <c r="I382" s="16" t="s">
        <v>2129</v>
      </c>
      <c r="J382" s="17">
        <v>39608</v>
      </c>
      <c r="K382" s="17">
        <v>45222</v>
      </c>
      <c r="L382" s="16" t="s">
        <v>2675</v>
      </c>
      <c r="M382" s="55" t="str">
        <f>IF(ISNA(VLOOKUP(D382,'[3]Table APOQUA files'!$B:$B,1,FALSE)),"NO","YES")</f>
        <v>YES</v>
      </c>
      <c r="N382" s="55" t="str">
        <f>IF(ISNA(VLOOKUP(D382,'Base PFR table'!K:K,1,FALSE)),"NO","YES")</f>
        <v>NO</v>
      </c>
      <c r="O382" s="35" t="s">
        <v>2858</v>
      </c>
      <c r="P382" s="35" t="s">
        <v>2858</v>
      </c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</row>
    <row r="383" spans="1:104" s="18" customFormat="1" ht="15" customHeight="1" x14ac:dyDescent="0.25">
      <c r="A383" s="70"/>
      <c r="B383" s="70" t="s">
        <v>2087</v>
      </c>
      <c r="C383" s="70"/>
      <c r="D383" s="14" t="s">
        <v>408</v>
      </c>
      <c r="E383" s="15" t="s">
        <v>941</v>
      </c>
      <c r="F383" s="22" t="s">
        <v>1675</v>
      </c>
      <c r="G383" s="16" t="s">
        <v>1459</v>
      </c>
      <c r="H383" s="16" t="s">
        <v>1171</v>
      </c>
      <c r="I383" s="16" t="s">
        <v>2122</v>
      </c>
      <c r="J383" s="17">
        <v>39608</v>
      </c>
      <c r="K383" s="17">
        <v>42978</v>
      </c>
      <c r="L383" s="16" t="s">
        <v>1207</v>
      </c>
      <c r="M383" s="55" t="str">
        <f>IF(ISNA(VLOOKUP(D383,'[3]Table APOQUA files'!$B:$B,1,FALSE)),"NO","YES")</f>
        <v>YES</v>
      </c>
      <c r="N383" s="55" t="str">
        <f>IF(ISNA(VLOOKUP(D383,'Base PFR table'!K:K,1,FALSE)),"NO","YES")</f>
        <v>NO</v>
      </c>
      <c r="O383" s="35" t="s">
        <v>2858</v>
      </c>
      <c r="P383" s="35" t="s">
        <v>2858</v>
      </c>
    </row>
    <row r="384" spans="1:104" ht="15" customHeight="1" x14ac:dyDescent="0.25">
      <c r="C384" s="3" t="s">
        <v>2087</v>
      </c>
      <c r="D384" s="60" t="s">
        <v>259</v>
      </c>
      <c r="E384" s="56" t="s">
        <v>942</v>
      </c>
      <c r="F384" s="57" t="s">
        <v>1208</v>
      </c>
      <c r="G384" s="58" t="s">
        <v>1313</v>
      </c>
      <c r="H384" s="58" t="s">
        <v>1172</v>
      </c>
      <c r="I384" s="58" t="s">
        <v>2130</v>
      </c>
      <c r="J384" s="59">
        <v>39608</v>
      </c>
      <c r="K384" s="59">
        <v>43187</v>
      </c>
      <c r="L384" s="58" t="s">
        <v>1207</v>
      </c>
      <c r="M384" s="33" t="str">
        <f>IF(ISNA(VLOOKUP(D384,'[3]Table APOQUA files'!$B:$B,1,FALSE)),"NO","YES")</f>
        <v>YES</v>
      </c>
      <c r="N384" s="33" t="str">
        <f>IF(ISNA(VLOOKUP(D384,'Base PFR table'!K:K,1,FALSE)),"NO","YES")</f>
        <v>NO</v>
      </c>
      <c r="O384" s="35" t="s">
        <v>2858</v>
      </c>
      <c r="P384" s="35" t="s">
        <v>2858</v>
      </c>
    </row>
    <row r="385" spans="1:104" ht="15" customHeight="1" x14ac:dyDescent="0.25">
      <c r="B385" s="69" t="s">
        <v>2087</v>
      </c>
      <c r="C385" s="3"/>
      <c r="D385" s="1" t="s">
        <v>379</v>
      </c>
      <c r="E385" s="15" t="s">
        <v>943</v>
      </c>
      <c r="F385" s="20" t="s">
        <v>1676</v>
      </c>
      <c r="G385" s="9" t="s">
        <v>1285</v>
      </c>
      <c r="H385" s="9" t="s">
        <v>1176</v>
      </c>
      <c r="I385" s="9" t="s">
        <v>2130</v>
      </c>
      <c r="J385" s="10">
        <v>39608</v>
      </c>
      <c r="K385" s="10">
        <v>45222</v>
      </c>
      <c r="L385" s="9" t="s">
        <v>1207</v>
      </c>
      <c r="M385" s="33" t="str">
        <f>IF(ISNA(VLOOKUP(D385,'[3]Table APOQUA files'!$B:$B,1,FALSE)),"NO","YES")</f>
        <v>YES</v>
      </c>
      <c r="N385" s="33" t="str">
        <f>IF(ISNA(VLOOKUP(D385,'Base PFR table'!K:K,1,FALSE)),"NO","YES")</f>
        <v>NO</v>
      </c>
      <c r="O385" s="35" t="s">
        <v>2858</v>
      </c>
      <c r="P385" s="35" t="s">
        <v>2858</v>
      </c>
    </row>
    <row r="386" spans="1:104" ht="15" customHeight="1" x14ac:dyDescent="0.25">
      <c r="C386" s="3" t="s">
        <v>2087</v>
      </c>
      <c r="D386" s="60" t="s">
        <v>380</v>
      </c>
      <c r="E386" s="56" t="s">
        <v>944</v>
      </c>
      <c r="F386" s="57" t="s">
        <v>1677</v>
      </c>
      <c r="G386" s="58" t="s">
        <v>1285</v>
      </c>
      <c r="H386" s="58" t="s">
        <v>1176</v>
      </c>
      <c r="I386" s="58" t="s">
        <v>2130</v>
      </c>
      <c r="J386" s="59">
        <v>39608</v>
      </c>
      <c r="K386" s="59">
        <v>41477</v>
      </c>
      <c r="L386" s="58" t="s">
        <v>1207</v>
      </c>
      <c r="M386" s="33" t="str">
        <f>IF(ISNA(VLOOKUP(D386,'[3]Table APOQUA files'!$B:$B,1,FALSE)),"NO","YES")</f>
        <v>YES</v>
      </c>
      <c r="N386" s="33" t="str">
        <f>IF(ISNA(VLOOKUP(D386,'Base PFR table'!K:K,1,FALSE)),"NO","YES")</f>
        <v>NO</v>
      </c>
      <c r="O386" s="35" t="s">
        <v>2858</v>
      </c>
      <c r="P386" s="35" t="s">
        <v>2858</v>
      </c>
    </row>
    <row r="387" spans="1:104" ht="15" customHeight="1" x14ac:dyDescent="0.25">
      <c r="B387" s="69" t="s">
        <v>2087</v>
      </c>
      <c r="C387" s="3"/>
      <c r="D387" s="1" t="s">
        <v>385</v>
      </c>
      <c r="E387" s="15" t="s">
        <v>945</v>
      </c>
      <c r="F387" s="20" t="s">
        <v>1678</v>
      </c>
      <c r="G387" s="9" t="s">
        <v>1515</v>
      </c>
      <c r="H387" s="9" t="s">
        <v>1176</v>
      </c>
      <c r="I387" s="9" t="s">
        <v>2130</v>
      </c>
      <c r="J387" s="10">
        <v>39608</v>
      </c>
      <c r="K387" s="10">
        <v>43675</v>
      </c>
      <c r="L387" s="16" t="s">
        <v>1207</v>
      </c>
      <c r="M387" s="33" t="str">
        <f>IF(ISNA(VLOOKUP(D387,'[3]Table APOQUA files'!$B:$B,1,FALSE)),"NO","YES")</f>
        <v>YES</v>
      </c>
      <c r="N387" s="33" t="str">
        <f>IF(ISNA(VLOOKUP(D387,'Base PFR table'!K:K,1,FALSE)),"NO","YES")</f>
        <v>NO</v>
      </c>
      <c r="O387" s="35" t="s">
        <v>2858</v>
      </c>
      <c r="P387" s="35" t="s">
        <v>2858</v>
      </c>
    </row>
    <row r="388" spans="1:104" ht="15" customHeight="1" x14ac:dyDescent="0.25">
      <c r="B388" s="69" t="s">
        <v>2087</v>
      </c>
      <c r="C388" s="3"/>
      <c r="D388" s="1" t="s">
        <v>296</v>
      </c>
      <c r="E388" s="15" t="s">
        <v>946</v>
      </c>
      <c r="F388" s="20" t="s">
        <v>1679</v>
      </c>
      <c r="G388" s="9" t="s">
        <v>1238</v>
      </c>
      <c r="H388" s="9" t="s">
        <v>1172</v>
      </c>
      <c r="I388" s="9" t="s">
        <v>2130</v>
      </c>
      <c r="J388" s="10">
        <v>39608</v>
      </c>
      <c r="K388" s="10">
        <v>44503</v>
      </c>
      <c r="L388" s="9" t="s">
        <v>1207</v>
      </c>
      <c r="M388" s="33" t="str">
        <f>IF(ISNA(VLOOKUP(D388,'[3]Table APOQUA files'!$B:$B,1,FALSE)),"NO","YES")</f>
        <v>YES</v>
      </c>
      <c r="N388" s="33" t="str">
        <f>IF(ISNA(VLOOKUP(D388,'Base PFR table'!K:K,1,FALSE)),"NO","YES")</f>
        <v>NO</v>
      </c>
      <c r="O388" s="35" t="s">
        <v>2858</v>
      </c>
      <c r="P388" s="35" t="s">
        <v>2858</v>
      </c>
    </row>
    <row r="389" spans="1:104" ht="15" customHeight="1" x14ac:dyDescent="0.25">
      <c r="C389" s="3" t="s">
        <v>2087</v>
      </c>
      <c r="D389" s="60" t="s">
        <v>116</v>
      </c>
      <c r="E389" s="56" t="s">
        <v>947</v>
      </c>
      <c r="F389" s="57" t="s">
        <v>1208</v>
      </c>
      <c r="G389" s="58" t="s">
        <v>1321</v>
      </c>
      <c r="H389" s="58" t="s">
        <v>1174</v>
      </c>
      <c r="I389" s="58">
        <v>0</v>
      </c>
      <c r="J389" s="59">
        <v>39608</v>
      </c>
      <c r="K389" s="59">
        <v>43167</v>
      </c>
      <c r="L389" s="58" t="s">
        <v>1207</v>
      </c>
      <c r="M389" s="33" t="str">
        <f>IF(ISNA(VLOOKUP(D389,'[3]Table APOQUA files'!$B:$B,1,FALSE)),"NO","YES")</f>
        <v>YES</v>
      </c>
      <c r="N389" s="33" t="str">
        <f>IF(ISNA(VLOOKUP(D389,'Base PFR table'!K:K,1,FALSE)),"NO","YES")</f>
        <v>NO</v>
      </c>
      <c r="O389" s="35" t="s">
        <v>2858</v>
      </c>
      <c r="P389" s="35" t="s">
        <v>2858</v>
      </c>
    </row>
    <row r="390" spans="1:104" ht="15" customHeight="1" x14ac:dyDescent="0.25">
      <c r="B390" s="69" t="s">
        <v>2087</v>
      </c>
      <c r="C390" s="3"/>
      <c r="D390" s="1" t="s">
        <v>363</v>
      </c>
      <c r="E390" s="15" t="s">
        <v>948</v>
      </c>
      <c r="F390" s="20" t="s">
        <v>2797</v>
      </c>
      <c r="G390" s="9" t="s">
        <v>1681</v>
      </c>
      <c r="H390" s="9" t="s">
        <v>1172</v>
      </c>
      <c r="I390" s="9" t="s">
        <v>2129</v>
      </c>
      <c r="J390" s="10">
        <v>39608</v>
      </c>
      <c r="K390" s="10">
        <v>44300</v>
      </c>
      <c r="L390" s="9" t="s">
        <v>1207</v>
      </c>
      <c r="M390" s="33" t="str">
        <f>IF(ISNA(VLOOKUP(D390,'[3]Table APOQUA files'!$B:$B,1,FALSE)),"NO","YES")</f>
        <v>YES</v>
      </c>
      <c r="N390" s="33" t="str">
        <f>IF(ISNA(VLOOKUP(D390,'Base PFR table'!K:K,1,FALSE)),"NO","YES")</f>
        <v>NO</v>
      </c>
      <c r="O390" s="35" t="s">
        <v>2858</v>
      </c>
      <c r="P390" s="35" t="s">
        <v>2858</v>
      </c>
    </row>
    <row r="391" spans="1:104" ht="15" customHeight="1" x14ac:dyDescent="0.25">
      <c r="B391" s="72" t="s">
        <v>2087</v>
      </c>
      <c r="C391" s="3"/>
      <c r="D391" s="1" t="s">
        <v>213</v>
      </c>
      <c r="E391" s="15" t="s">
        <v>949</v>
      </c>
      <c r="F391" s="20" t="s">
        <v>1682</v>
      </c>
      <c r="G391" s="9" t="s">
        <v>1362</v>
      </c>
      <c r="H391" s="9" t="s">
        <v>1171</v>
      </c>
      <c r="I391" s="9" t="s">
        <v>2129</v>
      </c>
      <c r="J391" s="10">
        <v>44619</v>
      </c>
      <c r="K391" s="10">
        <v>45618</v>
      </c>
      <c r="L391" s="9" t="s">
        <v>1487</v>
      </c>
      <c r="M391" s="33" t="str">
        <f>IF(ISNA(VLOOKUP(D391,'[3]Table APOQUA files'!$B:$B,1,FALSE)),"NO","YES")</f>
        <v>YES</v>
      </c>
      <c r="N391" s="33" t="str">
        <f>IF(ISNA(VLOOKUP(D391,'Base PFR table'!K:K,1,FALSE)),"NO","YES")</f>
        <v>NO</v>
      </c>
      <c r="O391" s="35" t="s">
        <v>2858</v>
      </c>
      <c r="P391" s="35" t="s">
        <v>2858</v>
      </c>
    </row>
    <row r="392" spans="1:104" ht="15" customHeight="1" x14ac:dyDescent="0.25">
      <c r="B392" s="69" t="s">
        <v>2087</v>
      </c>
      <c r="C392" s="3"/>
      <c r="D392" s="1" t="s">
        <v>28</v>
      </c>
      <c r="E392" s="15" t="s">
        <v>950</v>
      </c>
      <c r="F392" s="20" t="s">
        <v>1683</v>
      </c>
      <c r="G392" s="9" t="s">
        <v>1389</v>
      </c>
      <c r="H392" s="9" t="s">
        <v>593</v>
      </c>
      <c r="I392" s="9" t="s">
        <v>2133</v>
      </c>
      <c r="J392" s="10">
        <v>39608</v>
      </c>
      <c r="K392" s="10">
        <v>44893</v>
      </c>
      <c r="L392" s="9" t="s">
        <v>2843</v>
      </c>
      <c r="M392" s="33" t="str">
        <f>IF(ISNA(VLOOKUP(D392,'[3]Table APOQUA files'!$B:$B,1,FALSE)),"NO","YES")</f>
        <v>YES</v>
      </c>
      <c r="N392" s="33" t="str">
        <f>IF(ISNA(VLOOKUP(D392,'Base PFR table'!K:K,1,FALSE)),"NO","YES")</f>
        <v>NO</v>
      </c>
      <c r="O392" s="35" t="s">
        <v>2858</v>
      </c>
      <c r="P392" s="35" t="s">
        <v>2858</v>
      </c>
    </row>
    <row r="393" spans="1:104" s="18" customFormat="1" ht="15" customHeight="1" x14ac:dyDescent="0.25">
      <c r="B393" s="18" t="s">
        <v>2087</v>
      </c>
      <c r="D393" s="14" t="s">
        <v>244</v>
      </c>
      <c r="E393" s="15" t="s">
        <v>951</v>
      </c>
      <c r="F393" s="22" t="s">
        <v>1684</v>
      </c>
      <c r="G393" s="16" t="s">
        <v>1336</v>
      </c>
      <c r="H393" s="16" t="s">
        <v>593</v>
      </c>
      <c r="I393" s="16" t="s">
        <v>2126</v>
      </c>
      <c r="J393" s="17">
        <v>39608</v>
      </c>
      <c r="K393" s="17">
        <v>43374</v>
      </c>
      <c r="L393" s="9" t="s">
        <v>2843</v>
      </c>
      <c r="M393" s="55" t="str">
        <f>IF(ISNA(VLOOKUP(D393,'[3]Table APOQUA files'!$B:$B,1,FALSE)),"NO","YES")</f>
        <v>YES</v>
      </c>
      <c r="N393" s="55" t="str">
        <f>IF(ISNA(VLOOKUP(D393,'Base PFR table'!K:K,1,FALSE)),"NO","YES")</f>
        <v>NO</v>
      </c>
      <c r="O393" s="35" t="s">
        <v>2858</v>
      </c>
      <c r="P393" s="35" t="s">
        <v>2858</v>
      </c>
    </row>
    <row r="394" spans="1:104" ht="15" customHeight="1" x14ac:dyDescent="0.25">
      <c r="C394" s="3" t="s">
        <v>2087</v>
      </c>
      <c r="D394" s="60" t="s">
        <v>225</v>
      </c>
      <c r="E394" s="56" t="s">
        <v>952</v>
      </c>
      <c r="F394" s="57" t="s">
        <v>1685</v>
      </c>
      <c r="G394" s="58" t="s">
        <v>1686</v>
      </c>
      <c r="H394" s="58" t="s">
        <v>1170</v>
      </c>
      <c r="I394" s="58" t="s">
        <v>2133</v>
      </c>
      <c r="J394" s="59">
        <v>39608</v>
      </c>
      <c r="K394" s="59">
        <v>43125</v>
      </c>
      <c r="L394" s="58" t="s">
        <v>2645</v>
      </c>
      <c r="M394" s="33" t="str">
        <f>IF(ISNA(VLOOKUP(D394,'[3]Table APOQUA files'!$B:$B,1,FALSE)),"NO","YES")</f>
        <v>YES</v>
      </c>
      <c r="N394" s="33" t="str">
        <f>IF(ISNA(VLOOKUP(D394,'Base PFR table'!K:K,1,FALSE)),"NO","YES")</f>
        <v>NO</v>
      </c>
      <c r="O394" s="3" t="s">
        <v>2857</v>
      </c>
      <c r="P394" s="3" t="s">
        <v>2857</v>
      </c>
    </row>
    <row r="395" spans="1:104" s="18" customFormat="1" ht="15" customHeight="1" x14ac:dyDescent="0.25">
      <c r="A395" s="70"/>
      <c r="B395" s="70" t="s">
        <v>2087</v>
      </c>
      <c r="C395" s="70"/>
      <c r="D395" s="14" t="s">
        <v>44</v>
      </c>
      <c r="E395" s="15" t="s">
        <v>953</v>
      </c>
      <c r="F395" s="22" t="s">
        <v>1687</v>
      </c>
      <c r="G395" s="16" t="s">
        <v>1688</v>
      </c>
      <c r="H395" s="16" t="s">
        <v>1180</v>
      </c>
      <c r="I395" s="16" t="s">
        <v>1186</v>
      </c>
      <c r="J395" s="17">
        <v>39608</v>
      </c>
      <c r="K395" s="17">
        <v>43427</v>
      </c>
      <c r="L395" s="16" t="s">
        <v>2843</v>
      </c>
      <c r="M395" s="55" t="str">
        <f>IF(ISNA(VLOOKUP(D395,'[3]Table APOQUA files'!$B:$B,1,FALSE)),"NO","YES")</f>
        <v>YES</v>
      </c>
      <c r="N395" s="55" t="str">
        <f>IF(ISNA(VLOOKUP(D395,'Base PFR table'!K:K,1,FALSE)),"NO","YES")</f>
        <v>NO</v>
      </c>
      <c r="O395" s="35" t="s">
        <v>2858</v>
      </c>
      <c r="P395" s="35" t="s">
        <v>2858</v>
      </c>
    </row>
    <row r="396" spans="1:104" ht="15" customHeight="1" x14ac:dyDescent="0.25">
      <c r="B396" s="72" t="s">
        <v>2087</v>
      </c>
      <c r="C396" s="3"/>
      <c r="D396" s="1" t="s">
        <v>331</v>
      </c>
      <c r="E396" s="15" t="s">
        <v>954</v>
      </c>
      <c r="F396" s="23" t="s">
        <v>1689</v>
      </c>
      <c r="G396" s="9" t="s">
        <v>1690</v>
      </c>
      <c r="H396" s="9" t="s">
        <v>1178</v>
      </c>
      <c r="I396" s="9" t="s">
        <v>1186</v>
      </c>
      <c r="J396" s="10">
        <v>39608</v>
      </c>
      <c r="K396" s="10">
        <v>44390</v>
      </c>
      <c r="L396" s="9" t="s">
        <v>2843</v>
      </c>
      <c r="M396" s="33" t="str">
        <f>IF(ISNA(VLOOKUP(D396,'[3]Table APOQUA files'!$B:$B,1,FALSE)),"NO","YES")</f>
        <v>YES</v>
      </c>
      <c r="N396" s="33" t="str">
        <f>IF(ISNA(VLOOKUP(D396,'Base PFR table'!K:K,1,FALSE)),"NO","YES")</f>
        <v>NO</v>
      </c>
      <c r="O396" s="35" t="s">
        <v>2858</v>
      </c>
      <c r="P396" s="35" t="s">
        <v>2858</v>
      </c>
    </row>
    <row r="397" spans="1:104" ht="15" customHeight="1" x14ac:dyDescent="0.25">
      <c r="B397" s="72" t="s">
        <v>2087</v>
      </c>
      <c r="C397" s="3"/>
      <c r="D397" s="1" t="s">
        <v>436</v>
      </c>
      <c r="E397" s="15" t="s">
        <v>2798</v>
      </c>
      <c r="F397" s="20" t="s">
        <v>2799</v>
      </c>
      <c r="G397" s="9" t="s">
        <v>1486</v>
      </c>
      <c r="H397" s="9" t="s">
        <v>1172</v>
      </c>
      <c r="I397" s="9" t="s">
        <v>2130</v>
      </c>
      <c r="J397" s="10">
        <v>39608</v>
      </c>
      <c r="K397" s="10">
        <v>45222</v>
      </c>
      <c r="L397" s="9" t="s">
        <v>1209</v>
      </c>
      <c r="M397" s="33" t="str">
        <f>IF(ISNA(VLOOKUP(D397,'[3]Table APOQUA files'!$B:$B,1,FALSE)),"NO","YES")</f>
        <v>YES</v>
      </c>
      <c r="N397" s="33" t="str">
        <f>IF(ISNA(VLOOKUP(D397,'Base PFR table'!K:K,1,FALSE)),"NO","YES")</f>
        <v>NO</v>
      </c>
      <c r="O397" s="35" t="s">
        <v>2858</v>
      </c>
      <c r="P397" s="35" t="s">
        <v>2858</v>
      </c>
    </row>
    <row r="398" spans="1:104" s="70" customFormat="1" ht="15" customHeight="1" x14ac:dyDescent="0.25">
      <c r="B398" s="70" t="s">
        <v>2087</v>
      </c>
      <c r="D398" s="14" t="s">
        <v>389</v>
      </c>
      <c r="E398" s="15" t="s">
        <v>955</v>
      </c>
      <c r="F398" s="22" t="s">
        <v>1692</v>
      </c>
      <c r="G398" s="16" t="s">
        <v>1693</v>
      </c>
      <c r="H398" s="16" t="s">
        <v>1176</v>
      </c>
      <c r="I398" s="16" t="s">
        <v>2130</v>
      </c>
      <c r="J398" s="17">
        <v>39608</v>
      </c>
      <c r="K398" s="17">
        <v>45222</v>
      </c>
      <c r="L398" s="16" t="s">
        <v>2843</v>
      </c>
      <c r="M398" s="55" t="str">
        <f>IF(ISNA(VLOOKUP(D398,'[3]Table APOQUA files'!$B:$B,1,FALSE)),"NO","YES")</f>
        <v>YES</v>
      </c>
      <c r="N398" s="55" t="str">
        <f>IF(ISNA(VLOOKUP(D398,'Base PFR table'!K:K,1,FALSE)),"NO","YES")</f>
        <v>NO</v>
      </c>
      <c r="O398" s="35" t="s">
        <v>2858</v>
      </c>
      <c r="P398" s="35" t="s">
        <v>2858</v>
      </c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18"/>
      <c r="CW398" s="18"/>
      <c r="CX398" s="18"/>
      <c r="CY398" s="18"/>
      <c r="CZ398" s="18"/>
    </row>
    <row r="399" spans="1:104" ht="15" customHeight="1" x14ac:dyDescent="0.25">
      <c r="B399" s="72" t="s">
        <v>2087</v>
      </c>
      <c r="C399" s="3"/>
      <c r="D399" s="1" t="s">
        <v>459</v>
      </c>
      <c r="E399" s="15" t="s">
        <v>956</v>
      </c>
      <c r="F399" s="20" t="s">
        <v>1694</v>
      </c>
      <c r="G399" s="9" t="s">
        <v>1543</v>
      </c>
      <c r="H399" s="9" t="s">
        <v>1176</v>
      </c>
      <c r="I399" s="9" t="s">
        <v>2130</v>
      </c>
      <c r="J399" s="10">
        <v>39608</v>
      </c>
      <c r="K399" s="10">
        <v>45222</v>
      </c>
      <c r="L399" s="9" t="s">
        <v>1209</v>
      </c>
      <c r="M399" s="33" t="str">
        <f>IF(ISNA(VLOOKUP(D399,'[3]Table APOQUA files'!$B:$B,1,FALSE)),"NO","YES")</f>
        <v>YES</v>
      </c>
      <c r="N399" s="33" t="str">
        <f>IF(ISNA(VLOOKUP(D399,'Base PFR table'!K:K,1,FALSE)),"NO","YES")</f>
        <v>NO</v>
      </c>
      <c r="O399" s="35" t="s">
        <v>2858</v>
      </c>
      <c r="P399" s="35" t="s">
        <v>2858</v>
      </c>
    </row>
    <row r="400" spans="1:104" ht="15" customHeight="1" x14ac:dyDescent="0.25">
      <c r="B400" s="72" t="s">
        <v>2087</v>
      </c>
      <c r="C400" s="3"/>
      <c r="D400" s="1" t="s">
        <v>405</v>
      </c>
      <c r="E400" s="15" t="s">
        <v>957</v>
      </c>
      <c r="F400" s="20" t="s">
        <v>1695</v>
      </c>
      <c r="G400" s="9" t="s">
        <v>1696</v>
      </c>
      <c r="H400" s="9" t="s">
        <v>1173</v>
      </c>
      <c r="I400" s="9" t="s">
        <v>1186</v>
      </c>
      <c r="J400" s="10">
        <v>39608</v>
      </c>
      <c r="K400" s="10">
        <v>42888</v>
      </c>
      <c r="L400" s="16" t="s">
        <v>2843</v>
      </c>
      <c r="M400" s="33" t="str">
        <f>IF(ISNA(VLOOKUP(D400,'[3]Table APOQUA files'!$B:$B,1,FALSE)),"NO","YES")</f>
        <v>YES</v>
      </c>
      <c r="N400" s="33" t="str">
        <f>IF(ISNA(VLOOKUP(D400,'Base PFR table'!K:K,1,FALSE)),"NO","YES")</f>
        <v>NO</v>
      </c>
      <c r="O400" s="35" t="s">
        <v>2858</v>
      </c>
      <c r="P400" s="35" t="s">
        <v>2858</v>
      </c>
    </row>
    <row r="401" spans="2:104" ht="15" customHeight="1" x14ac:dyDescent="0.25">
      <c r="B401" s="72" t="s">
        <v>2087</v>
      </c>
      <c r="C401" s="3"/>
      <c r="D401" s="1" t="s">
        <v>156</v>
      </c>
      <c r="E401" s="15" t="s">
        <v>958</v>
      </c>
      <c r="F401" s="20" t="s">
        <v>1208</v>
      </c>
      <c r="G401" s="9" t="s">
        <v>1244</v>
      </c>
      <c r="H401" s="9" t="s">
        <v>1175</v>
      </c>
      <c r="I401" s="9" t="s">
        <v>1186</v>
      </c>
      <c r="J401" s="10">
        <v>39608</v>
      </c>
      <c r="K401" s="10">
        <v>45222</v>
      </c>
      <c r="L401" s="9" t="s">
        <v>1209</v>
      </c>
      <c r="M401" s="33" t="str">
        <f>IF(ISNA(VLOOKUP(D401,'[3]Table APOQUA files'!$B:$B,1,FALSE)),"NO","YES")</f>
        <v>YES</v>
      </c>
      <c r="N401" s="33" t="str">
        <f>IF(ISNA(VLOOKUP(D401,'Base PFR table'!K:K,1,FALSE)),"NO","YES")</f>
        <v>NO</v>
      </c>
      <c r="O401" s="35" t="s">
        <v>2858</v>
      </c>
      <c r="P401" s="35" t="s">
        <v>2858</v>
      </c>
    </row>
    <row r="402" spans="2:104" ht="15" customHeight="1" x14ac:dyDescent="0.25">
      <c r="C402" s="3" t="s">
        <v>2087</v>
      </c>
      <c r="D402" s="60" t="s">
        <v>323</v>
      </c>
      <c r="E402" s="56" t="s">
        <v>959</v>
      </c>
      <c r="F402" s="57" t="s">
        <v>1208</v>
      </c>
      <c r="G402" s="58" t="s">
        <v>1317</v>
      </c>
      <c r="H402" s="58" t="s">
        <v>1179</v>
      </c>
      <c r="I402" s="58" t="s">
        <v>2129</v>
      </c>
      <c r="J402" s="59">
        <v>39608</v>
      </c>
      <c r="K402" s="59">
        <v>43278</v>
      </c>
      <c r="L402" s="58" t="s">
        <v>2645</v>
      </c>
      <c r="M402" s="33" t="str">
        <f>IF(ISNA(VLOOKUP(D402,'[3]Table APOQUA files'!$B:$B,1,FALSE)),"NO","YES")</f>
        <v>YES</v>
      </c>
      <c r="N402" s="33" t="str">
        <f>IF(ISNA(VLOOKUP(D402,'Base PFR table'!K:K,1,FALSE)),"NO","YES")</f>
        <v>NO</v>
      </c>
      <c r="O402" s="3" t="s">
        <v>2857</v>
      </c>
      <c r="P402" s="3" t="s">
        <v>2857</v>
      </c>
    </row>
    <row r="403" spans="2:104" ht="15" customHeight="1" x14ac:dyDescent="0.25">
      <c r="C403" s="3" t="s">
        <v>2087</v>
      </c>
      <c r="D403" s="60" t="s">
        <v>216</v>
      </c>
      <c r="E403" s="56" t="s">
        <v>960</v>
      </c>
      <c r="F403" s="57" t="s">
        <v>1208</v>
      </c>
      <c r="G403" s="58" t="s">
        <v>1697</v>
      </c>
      <c r="H403" s="58" t="s">
        <v>1183</v>
      </c>
      <c r="I403" s="58">
        <v>0</v>
      </c>
      <c r="J403" s="59">
        <v>39608</v>
      </c>
      <c r="K403" s="59">
        <v>43278</v>
      </c>
      <c r="L403" s="58" t="s">
        <v>2645</v>
      </c>
      <c r="M403" s="33" t="str">
        <f>IF(ISNA(VLOOKUP(D403,'[3]Table APOQUA files'!$B:$B,1,FALSE)),"NO","YES")</f>
        <v>YES</v>
      </c>
      <c r="N403" s="33" t="str">
        <f>IF(ISNA(VLOOKUP(D403,'Base PFR table'!K:K,1,FALSE)),"NO","YES")</f>
        <v>NO</v>
      </c>
      <c r="O403" s="3" t="s">
        <v>2857</v>
      </c>
      <c r="P403" s="3" t="s">
        <v>2857</v>
      </c>
    </row>
    <row r="404" spans="2:104" ht="15" customHeight="1" x14ac:dyDescent="0.25">
      <c r="B404" s="72" t="s">
        <v>2087</v>
      </c>
      <c r="C404" s="3"/>
      <c r="D404" s="1" t="s">
        <v>377</v>
      </c>
      <c r="E404" s="15" t="s">
        <v>961</v>
      </c>
      <c r="F404" s="20" t="s">
        <v>1698</v>
      </c>
      <c r="G404" s="9" t="s">
        <v>1313</v>
      </c>
      <c r="H404" s="9" t="s">
        <v>1172</v>
      </c>
      <c r="I404" s="9" t="s">
        <v>2130</v>
      </c>
      <c r="J404" s="10">
        <v>39608</v>
      </c>
      <c r="K404" s="10">
        <v>45222</v>
      </c>
      <c r="L404" s="9" t="s">
        <v>1209</v>
      </c>
      <c r="M404" s="33" t="str">
        <f>IF(ISNA(VLOOKUP(D404,'[3]Table APOQUA files'!$B:$B,1,FALSE)),"NO","YES")</f>
        <v>YES</v>
      </c>
      <c r="N404" s="33" t="str">
        <f>IF(ISNA(VLOOKUP(D404,'Base PFR table'!K:K,1,FALSE)),"NO","YES")</f>
        <v>NO</v>
      </c>
      <c r="O404" s="35" t="s">
        <v>2858</v>
      </c>
      <c r="P404" s="35" t="s">
        <v>2858</v>
      </c>
    </row>
    <row r="405" spans="2:104" ht="15" customHeight="1" x14ac:dyDescent="0.25">
      <c r="C405" s="3" t="s">
        <v>2087</v>
      </c>
      <c r="D405" s="60" t="s">
        <v>357</v>
      </c>
      <c r="E405" s="56" t="s">
        <v>962</v>
      </c>
      <c r="F405" s="57" t="s">
        <v>1208</v>
      </c>
      <c r="G405" s="58" t="s">
        <v>1699</v>
      </c>
      <c r="H405" s="58" t="s">
        <v>1174</v>
      </c>
      <c r="I405" s="58">
        <v>0</v>
      </c>
      <c r="J405" s="59">
        <v>39608</v>
      </c>
      <c r="K405" s="59">
        <v>43173</v>
      </c>
      <c r="L405" s="58" t="s">
        <v>2645</v>
      </c>
      <c r="M405" s="33" t="str">
        <f>IF(ISNA(VLOOKUP(D405,'[3]Table APOQUA files'!$B:$B,1,FALSE)),"NO","YES")</f>
        <v>YES</v>
      </c>
      <c r="N405" s="33" t="str">
        <f>IF(ISNA(VLOOKUP(D405,'Base PFR table'!K:K,1,FALSE)),"NO","YES")</f>
        <v>NO</v>
      </c>
      <c r="O405" s="3" t="s">
        <v>2857</v>
      </c>
      <c r="P405" s="3" t="s">
        <v>2857</v>
      </c>
    </row>
    <row r="406" spans="2:104" ht="15" customHeight="1" x14ac:dyDescent="0.25">
      <c r="C406" s="3" t="s">
        <v>2087</v>
      </c>
      <c r="D406" s="60" t="s">
        <v>397</v>
      </c>
      <c r="E406" s="56" t="s">
        <v>963</v>
      </c>
      <c r="F406" s="57" t="s">
        <v>1208</v>
      </c>
      <c r="G406" s="58" t="s">
        <v>1699</v>
      </c>
      <c r="H406" s="58" t="s">
        <v>1174</v>
      </c>
      <c r="I406" s="58">
        <v>0</v>
      </c>
      <c r="J406" s="59">
        <v>39608</v>
      </c>
      <c r="K406" s="59">
        <v>43168</v>
      </c>
      <c r="L406" s="58" t="s">
        <v>2645</v>
      </c>
      <c r="M406" s="33" t="str">
        <f>IF(ISNA(VLOOKUP(D406,'[3]Table APOQUA files'!$B:$B,1,FALSE)),"NO","YES")</f>
        <v>YES</v>
      </c>
      <c r="N406" s="33" t="str">
        <f>IF(ISNA(VLOOKUP(D406,'Base PFR table'!K:K,1,FALSE)),"NO","YES")</f>
        <v>NO</v>
      </c>
      <c r="O406" s="3" t="s">
        <v>2857</v>
      </c>
      <c r="P406" s="3" t="s">
        <v>2857</v>
      </c>
    </row>
    <row r="407" spans="2:104" ht="15" customHeight="1" x14ac:dyDescent="0.25">
      <c r="B407" s="72" t="s">
        <v>2087</v>
      </c>
      <c r="C407" s="3"/>
      <c r="D407" s="1" t="s">
        <v>158</v>
      </c>
      <c r="E407" s="15" t="s">
        <v>964</v>
      </c>
      <c r="F407" s="20" t="s">
        <v>1700</v>
      </c>
      <c r="G407" s="9" t="s">
        <v>1642</v>
      </c>
      <c r="H407" s="9" t="s">
        <v>1178</v>
      </c>
      <c r="I407" s="9" t="s">
        <v>2125</v>
      </c>
      <c r="J407" s="10">
        <v>39608</v>
      </c>
      <c r="K407" s="10">
        <v>44888</v>
      </c>
      <c r="L407" s="9" t="s">
        <v>2843</v>
      </c>
      <c r="M407" s="33" t="str">
        <f>IF(ISNA(VLOOKUP(D407,'[3]Table APOQUA files'!$B:$B,1,FALSE)),"NO","YES")</f>
        <v>YES</v>
      </c>
      <c r="N407" s="33" t="str">
        <f>IF(ISNA(VLOOKUP(D407,'Base PFR table'!K:K,1,FALSE)),"NO","YES")</f>
        <v>NO</v>
      </c>
      <c r="O407" s="35" t="s">
        <v>2858</v>
      </c>
      <c r="P407" s="35" t="s">
        <v>2858</v>
      </c>
    </row>
    <row r="408" spans="2:104" ht="15" customHeight="1" x14ac:dyDescent="0.25">
      <c r="B408" s="72" t="s">
        <v>2087</v>
      </c>
      <c r="C408" s="3"/>
      <c r="D408" s="1" t="s">
        <v>129</v>
      </c>
      <c r="E408" s="15" t="s">
        <v>965</v>
      </c>
      <c r="F408" s="20" t="s">
        <v>1208</v>
      </c>
      <c r="G408" s="9" t="s">
        <v>1459</v>
      </c>
      <c r="H408" s="9" t="s">
        <v>1171</v>
      </c>
      <c r="I408" s="9" t="s">
        <v>2133</v>
      </c>
      <c r="J408" s="10">
        <v>39608</v>
      </c>
      <c r="K408" s="10">
        <v>45222</v>
      </c>
      <c r="L408" s="9" t="s">
        <v>1209</v>
      </c>
      <c r="M408" s="33" t="str">
        <f>IF(ISNA(VLOOKUP(D408,'[3]Table APOQUA files'!$B:$B,1,FALSE)),"NO","YES")</f>
        <v>YES</v>
      </c>
      <c r="N408" s="33" t="str">
        <f>IF(ISNA(VLOOKUP(D408,'Base PFR table'!K:K,1,FALSE)),"NO","YES")</f>
        <v>NO</v>
      </c>
      <c r="O408" s="35" t="s">
        <v>2858</v>
      </c>
      <c r="P408" s="35" t="s">
        <v>2858</v>
      </c>
    </row>
    <row r="409" spans="2:104" ht="15" customHeight="1" x14ac:dyDescent="0.25">
      <c r="B409" s="69" t="s">
        <v>2087</v>
      </c>
      <c r="C409" s="3"/>
      <c r="D409" s="1" t="s">
        <v>236</v>
      </c>
      <c r="E409" s="15" t="s">
        <v>966</v>
      </c>
      <c r="F409" s="20" t="s">
        <v>1701</v>
      </c>
      <c r="G409" s="9" t="s">
        <v>1702</v>
      </c>
      <c r="H409" s="9" t="s">
        <v>593</v>
      </c>
      <c r="I409" s="9" t="s">
        <v>2122</v>
      </c>
      <c r="J409" s="10">
        <v>39608</v>
      </c>
      <c r="K409" s="10">
        <v>44840</v>
      </c>
      <c r="L409" s="9" t="s">
        <v>1207</v>
      </c>
      <c r="M409" s="33" t="str">
        <f>IF(ISNA(VLOOKUP(D409,'[3]Table APOQUA files'!$B:$B,1,FALSE)),"NO","YES")</f>
        <v>YES</v>
      </c>
      <c r="N409" s="33" t="str">
        <f>IF(ISNA(VLOOKUP(D409,'Base PFR table'!K:K,1,FALSE)),"NO","YES")</f>
        <v>NO</v>
      </c>
      <c r="O409" s="35" t="s">
        <v>2858</v>
      </c>
      <c r="P409" s="35" t="s">
        <v>2858</v>
      </c>
    </row>
    <row r="410" spans="2:104" ht="15" customHeight="1" x14ac:dyDescent="0.25">
      <c r="B410" s="69" t="s">
        <v>2087</v>
      </c>
      <c r="C410" s="3"/>
      <c r="D410" s="1" t="s">
        <v>191</v>
      </c>
      <c r="E410" s="15" t="s">
        <v>2800</v>
      </c>
      <c r="F410" s="20" t="s">
        <v>1703</v>
      </c>
      <c r="G410" s="9" t="s">
        <v>1238</v>
      </c>
      <c r="H410" s="9" t="s">
        <v>1172</v>
      </c>
      <c r="I410" s="9" t="s">
        <v>2130</v>
      </c>
      <c r="J410" s="10">
        <v>39608</v>
      </c>
      <c r="K410" s="10">
        <v>44827</v>
      </c>
      <c r="L410" s="9" t="s">
        <v>2843</v>
      </c>
      <c r="M410" s="33" t="str">
        <f>IF(ISNA(VLOOKUP(D410,'[3]Table APOQUA files'!$B:$B,1,FALSE)),"NO","YES")</f>
        <v>YES</v>
      </c>
      <c r="N410" s="33" t="str">
        <f>IF(ISNA(VLOOKUP(D410,'Base PFR table'!K:K,1,FALSE)),"NO","YES")</f>
        <v>NO</v>
      </c>
      <c r="O410" s="35" t="s">
        <v>2858</v>
      </c>
      <c r="P410" s="35" t="s">
        <v>2858</v>
      </c>
    </row>
    <row r="411" spans="2:104" ht="15" customHeight="1" x14ac:dyDescent="0.25">
      <c r="C411" s="3" t="s">
        <v>2087</v>
      </c>
      <c r="D411" s="60" t="s">
        <v>192</v>
      </c>
      <c r="E411" s="56" t="s">
        <v>967</v>
      </c>
      <c r="F411" s="57" t="s">
        <v>1704</v>
      </c>
      <c r="G411" s="58" t="s">
        <v>1238</v>
      </c>
      <c r="H411" s="58" t="s">
        <v>1172</v>
      </c>
      <c r="I411" s="58" t="s">
        <v>2130</v>
      </c>
      <c r="J411" s="59">
        <v>39608</v>
      </c>
      <c r="K411" s="59">
        <v>41751</v>
      </c>
      <c r="L411" s="58" t="s">
        <v>2645</v>
      </c>
      <c r="M411" s="33" t="str">
        <f>IF(ISNA(VLOOKUP(D411,'[3]Table APOQUA files'!$B:$B,1,FALSE)),"NO","YES")</f>
        <v>YES</v>
      </c>
      <c r="N411" s="33" t="str">
        <f>IF(ISNA(VLOOKUP(D411,'Base PFR table'!K:K,1,FALSE)),"NO","YES")</f>
        <v>NO</v>
      </c>
      <c r="O411" s="3" t="s">
        <v>2857</v>
      </c>
      <c r="P411" s="3" t="s">
        <v>2857</v>
      </c>
    </row>
    <row r="412" spans="2:104" ht="15" customHeight="1" x14ac:dyDescent="0.25">
      <c r="B412" s="69" t="s">
        <v>2087</v>
      </c>
      <c r="C412" s="3"/>
      <c r="D412" s="1" t="s">
        <v>240</v>
      </c>
      <c r="E412" s="15" t="s">
        <v>968</v>
      </c>
      <c r="F412" s="20" t="s">
        <v>1705</v>
      </c>
      <c r="G412" s="9" t="s">
        <v>1706</v>
      </c>
      <c r="H412" s="9" t="s">
        <v>593</v>
      </c>
      <c r="I412" s="9" t="s">
        <v>2126</v>
      </c>
      <c r="J412" s="10">
        <v>39608</v>
      </c>
      <c r="K412" s="10">
        <v>45805</v>
      </c>
      <c r="L412" s="9" t="s">
        <v>1487</v>
      </c>
      <c r="M412" s="33" t="str">
        <f>IF(ISNA(VLOOKUP(D412,'[3]Table APOQUA files'!$B:$B,1,FALSE)),"NO","YES")</f>
        <v>YES</v>
      </c>
      <c r="N412" s="33" t="str">
        <f>IF(ISNA(VLOOKUP(D412,'Base PFR table'!K:K,1,FALSE)),"NO","YES")</f>
        <v>YES</v>
      </c>
      <c r="O412" s="35" t="s">
        <v>2859</v>
      </c>
      <c r="P412" s="35" t="s">
        <v>2859</v>
      </c>
      <c r="Q412" s="3" t="s">
        <v>2867</v>
      </c>
    </row>
    <row r="413" spans="2:104" ht="15" customHeight="1" x14ac:dyDescent="0.25">
      <c r="C413" s="3" t="s">
        <v>2087</v>
      </c>
      <c r="D413" s="60" t="s">
        <v>115</v>
      </c>
      <c r="E413" s="56" t="s">
        <v>969</v>
      </c>
      <c r="F413" s="57" t="s">
        <v>1208</v>
      </c>
      <c r="G413" s="58" t="s">
        <v>1559</v>
      </c>
      <c r="H413" s="58" t="s">
        <v>1174</v>
      </c>
      <c r="I413" s="58">
        <v>0</v>
      </c>
      <c r="J413" s="59">
        <v>39608</v>
      </c>
      <c r="K413" s="59">
        <v>43251</v>
      </c>
      <c r="L413" s="58" t="s">
        <v>2645</v>
      </c>
      <c r="M413" s="33" t="str">
        <f>IF(ISNA(VLOOKUP(D413,'[3]Table APOQUA files'!$B:$B,1,FALSE)),"NO","YES")</f>
        <v>YES</v>
      </c>
      <c r="N413" s="33" t="str">
        <f>IF(ISNA(VLOOKUP(D413,'Base PFR table'!K:K,1,FALSE)),"NO","YES")</f>
        <v>NO</v>
      </c>
      <c r="O413" s="3" t="s">
        <v>2857</v>
      </c>
      <c r="P413" s="3" t="s">
        <v>2857</v>
      </c>
    </row>
    <row r="414" spans="2:104" s="70" customFormat="1" ht="15" customHeight="1" x14ac:dyDescent="0.25">
      <c r="B414" s="70" t="s">
        <v>2087</v>
      </c>
      <c r="D414" s="14" t="s">
        <v>179</v>
      </c>
      <c r="E414" s="15" t="s">
        <v>970</v>
      </c>
      <c r="F414" s="22" t="s">
        <v>1707</v>
      </c>
      <c r="G414" s="16" t="s">
        <v>1693</v>
      </c>
      <c r="H414" s="16" t="s">
        <v>1176</v>
      </c>
      <c r="I414" s="16"/>
      <c r="J414" s="17">
        <v>39608</v>
      </c>
      <c r="K414" s="17">
        <v>45222</v>
      </c>
      <c r="L414" s="16" t="s">
        <v>2843</v>
      </c>
      <c r="M414" s="55" t="str">
        <f>IF(ISNA(VLOOKUP(D414,'[3]Table APOQUA files'!$B:$B,1,FALSE)),"NO","YES")</f>
        <v>YES</v>
      </c>
      <c r="N414" s="55" t="str">
        <f>IF(ISNA(VLOOKUP(D414,'Base PFR table'!K:K,1,FALSE)),"NO","YES")</f>
        <v>NO</v>
      </c>
      <c r="O414" s="35" t="s">
        <v>2858</v>
      </c>
      <c r="P414" s="35" t="s">
        <v>2858</v>
      </c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8"/>
      <c r="CW414" s="18"/>
      <c r="CX414" s="18"/>
      <c r="CY414" s="18"/>
      <c r="CZ414" s="18"/>
    </row>
    <row r="415" spans="2:104" ht="15" customHeight="1" x14ac:dyDescent="0.25">
      <c r="C415" s="3" t="s">
        <v>2087</v>
      </c>
      <c r="D415" s="60" t="s">
        <v>157</v>
      </c>
      <c r="E415" s="56" t="s">
        <v>971</v>
      </c>
      <c r="F415" s="57" t="s">
        <v>1208</v>
      </c>
      <c r="G415" s="58" t="s">
        <v>1244</v>
      </c>
      <c r="H415" s="58" t="s">
        <v>1175</v>
      </c>
      <c r="I415" s="58">
        <v>0</v>
      </c>
      <c r="J415" s="59">
        <v>39608</v>
      </c>
      <c r="K415" s="59">
        <v>43188</v>
      </c>
      <c r="L415" s="58" t="s">
        <v>2645</v>
      </c>
      <c r="M415" s="33" t="str">
        <f>IF(ISNA(VLOOKUP(D415,'[3]Table APOQUA files'!$B:$B,1,FALSE)),"NO","YES")</f>
        <v>YES</v>
      </c>
      <c r="N415" s="33" t="str">
        <f>IF(ISNA(VLOOKUP(D415,'Base PFR table'!K:K,1,FALSE)),"NO","YES")</f>
        <v>NO</v>
      </c>
      <c r="O415" s="3" t="s">
        <v>2857</v>
      </c>
      <c r="P415" s="3" t="s">
        <v>2857</v>
      </c>
    </row>
    <row r="416" spans="2:104" ht="15" customHeight="1" x14ac:dyDescent="0.25">
      <c r="C416" s="3" t="s">
        <v>2087</v>
      </c>
      <c r="D416" s="60" t="s">
        <v>266</v>
      </c>
      <c r="E416" s="56" t="s">
        <v>972</v>
      </c>
      <c r="F416" s="57" t="s">
        <v>1208</v>
      </c>
      <c r="G416" s="58" t="s">
        <v>1655</v>
      </c>
      <c r="H416" s="58" t="s">
        <v>1185</v>
      </c>
      <c r="I416" s="58" t="s">
        <v>2130</v>
      </c>
      <c r="J416" s="59">
        <v>39608</v>
      </c>
      <c r="K416" s="59">
        <v>43157</v>
      </c>
      <c r="L416" s="58" t="s">
        <v>2645</v>
      </c>
      <c r="M416" s="33" t="str">
        <f>IF(ISNA(VLOOKUP(D416,'[3]Table APOQUA files'!$B:$B,1,FALSE)),"NO","YES")</f>
        <v>YES</v>
      </c>
      <c r="N416" s="33" t="str">
        <f>IF(ISNA(VLOOKUP(D416,'Base PFR table'!K:K,1,FALSE)),"NO","YES")</f>
        <v>NO</v>
      </c>
      <c r="O416" s="3" t="s">
        <v>2857</v>
      </c>
      <c r="P416" s="3" t="s">
        <v>2857</v>
      </c>
    </row>
    <row r="417" spans="3:104" ht="15" customHeight="1" x14ac:dyDescent="0.25">
      <c r="C417" s="69" t="s">
        <v>2087</v>
      </c>
      <c r="D417" s="1" t="s">
        <v>461</v>
      </c>
      <c r="E417" s="15" t="s">
        <v>973</v>
      </c>
      <c r="F417" s="20" t="s">
        <v>1708</v>
      </c>
      <c r="G417" s="9" t="s">
        <v>1709</v>
      </c>
      <c r="H417" s="9" t="s">
        <v>1183</v>
      </c>
      <c r="I417" s="9" t="s">
        <v>2129</v>
      </c>
      <c r="J417" s="10">
        <v>39608</v>
      </c>
      <c r="K417" s="10">
        <v>43173</v>
      </c>
      <c r="L417" s="9" t="s">
        <v>2843</v>
      </c>
      <c r="M417" s="33" t="str">
        <f>IF(ISNA(VLOOKUP(D417,'[3]Table APOQUA files'!$B:$B,1,FALSE)),"NO","YES")</f>
        <v>YES</v>
      </c>
      <c r="N417" s="33" t="str">
        <f>IF(ISNA(VLOOKUP(D417,'Base PFR table'!K:K,1,FALSE)),"NO","YES")</f>
        <v>NO</v>
      </c>
      <c r="O417" s="35" t="s">
        <v>2858</v>
      </c>
      <c r="P417" s="35" t="s">
        <v>2858</v>
      </c>
    </row>
    <row r="418" spans="3:104" ht="15" customHeight="1" x14ac:dyDescent="0.25">
      <c r="C418" s="3" t="s">
        <v>2087</v>
      </c>
      <c r="D418" s="60" t="s">
        <v>22</v>
      </c>
      <c r="E418" s="56" t="s">
        <v>974</v>
      </c>
      <c r="F418" s="57" t="s">
        <v>1208</v>
      </c>
      <c r="G418" s="58" t="s">
        <v>1468</v>
      </c>
      <c r="H418" s="58" t="s">
        <v>1173</v>
      </c>
      <c r="I418" s="58" t="s">
        <v>1186</v>
      </c>
      <c r="J418" s="59">
        <v>39608</v>
      </c>
      <c r="K418" s="59">
        <v>41177</v>
      </c>
      <c r="L418" s="58" t="s">
        <v>2645</v>
      </c>
      <c r="M418" s="33" t="str">
        <f>IF(ISNA(VLOOKUP(D418,'[3]Table APOQUA files'!$B:$B,1,FALSE)),"NO","YES")</f>
        <v>YES</v>
      </c>
      <c r="N418" s="33" t="str">
        <f>IF(ISNA(VLOOKUP(D418,'Base PFR table'!K:K,1,FALSE)),"NO","YES")</f>
        <v>NO</v>
      </c>
      <c r="O418" s="3" t="s">
        <v>2857</v>
      </c>
      <c r="P418" s="3" t="s">
        <v>2857</v>
      </c>
    </row>
    <row r="419" spans="3:104" ht="15" customHeight="1" x14ac:dyDescent="0.25">
      <c r="C419" s="3" t="s">
        <v>2087</v>
      </c>
      <c r="D419" s="60" t="s">
        <v>188</v>
      </c>
      <c r="E419" s="56" t="s">
        <v>975</v>
      </c>
      <c r="F419" s="57" t="s">
        <v>1710</v>
      </c>
      <c r="G419" s="58" t="s">
        <v>1671</v>
      </c>
      <c r="H419" s="58" t="s">
        <v>1182</v>
      </c>
      <c r="I419" s="58">
        <v>0</v>
      </c>
      <c r="J419" s="59">
        <v>39608</v>
      </c>
      <c r="K419" s="59">
        <v>43180</v>
      </c>
      <c r="L419" s="58" t="s">
        <v>2645</v>
      </c>
      <c r="M419" s="33" t="str">
        <f>IF(ISNA(VLOOKUP(D419,'[3]Table APOQUA files'!$B:$B,1,FALSE)),"NO","YES")</f>
        <v>YES</v>
      </c>
      <c r="N419" s="33" t="str">
        <f>IF(ISNA(VLOOKUP(D419,'Base PFR table'!K:K,1,FALSE)),"NO","YES")</f>
        <v>NO</v>
      </c>
      <c r="O419" s="3" t="s">
        <v>2857</v>
      </c>
      <c r="P419" s="3" t="s">
        <v>2857</v>
      </c>
    </row>
    <row r="420" spans="3:104" ht="15" customHeight="1" x14ac:dyDescent="0.25">
      <c r="C420" s="3" t="s">
        <v>2087</v>
      </c>
      <c r="D420" s="60" t="s">
        <v>113</v>
      </c>
      <c r="E420" s="56" t="s">
        <v>976</v>
      </c>
      <c r="F420" s="57" t="s">
        <v>1208</v>
      </c>
      <c r="G420" s="58" t="s">
        <v>1711</v>
      </c>
      <c r="H420" s="58" t="s">
        <v>1183</v>
      </c>
      <c r="I420" s="58" t="s">
        <v>2130</v>
      </c>
      <c r="J420" s="59">
        <v>39608</v>
      </c>
      <c r="K420" s="59">
        <v>43167</v>
      </c>
      <c r="L420" s="58" t="s">
        <v>2645</v>
      </c>
      <c r="M420" s="33" t="str">
        <f>IF(ISNA(VLOOKUP(D420,'[3]Table APOQUA files'!$B:$B,1,FALSE)),"NO","YES")</f>
        <v>YES</v>
      </c>
      <c r="N420" s="33" t="str">
        <f>IF(ISNA(VLOOKUP(D420,'Base PFR table'!K:K,1,FALSE)),"NO","YES")</f>
        <v>NO</v>
      </c>
      <c r="O420" s="3" t="s">
        <v>2857</v>
      </c>
      <c r="P420" s="3" t="s">
        <v>2857</v>
      </c>
    </row>
    <row r="421" spans="3:104" ht="15" customHeight="1" x14ac:dyDescent="0.25">
      <c r="C421" s="3" t="s">
        <v>2087</v>
      </c>
      <c r="D421" s="60" t="s">
        <v>98</v>
      </c>
      <c r="E421" s="56" t="s">
        <v>977</v>
      </c>
      <c r="F421" s="57" t="s">
        <v>1712</v>
      </c>
      <c r="G421" s="58" t="s">
        <v>1713</v>
      </c>
      <c r="H421" s="58" t="s">
        <v>1185</v>
      </c>
      <c r="I421" s="58" t="s">
        <v>2133</v>
      </c>
      <c r="J421" s="59">
        <v>39608</v>
      </c>
      <c r="K421" s="59">
        <v>42657</v>
      </c>
      <c r="L421" s="58" t="s">
        <v>2645</v>
      </c>
      <c r="M421" s="33" t="str">
        <f>IF(ISNA(VLOOKUP(D421,'[3]Table APOQUA files'!$B:$B,1,FALSE)),"NO","YES")</f>
        <v>YES</v>
      </c>
      <c r="N421" s="33" t="str">
        <f>IF(ISNA(VLOOKUP(D421,'Base PFR table'!K:K,1,FALSE)),"NO","YES")</f>
        <v>NO</v>
      </c>
      <c r="O421" s="3" t="s">
        <v>2857</v>
      </c>
      <c r="P421" s="3" t="s">
        <v>2857</v>
      </c>
    </row>
    <row r="422" spans="3:104" s="70" customFormat="1" ht="15" customHeight="1" x14ac:dyDescent="0.25">
      <c r="C422" s="70" t="s">
        <v>2087</v>
      </c>
      <c r="D422" s="14" t="s">
        <v>183</v>
      </c>
      <c r="E422" s="15" t="s">
        <v>978</v>
      </c>
      <c r="F422" s="22" t="s">
        <v>1714</v>
      </c>
      <c r="G422" s="16" t="s">
        <v>1715</v>
      </c>
      <c r="H422" s="16" t="s">
        <v>1180</v>
      </c>
      <c r="I422" s="16" t="s">
        <v>1186</v>
      </c>
      <c r="J422" s="17">
        <v>39608</v>
      </c>
      <c r="K422" s="17">
        <v>44182</v>
      </c>
      <c r="L422" s="16" t="s">
        <v>2843</v>
      </c>
      <c r="M422" s="55" t="str">
        <f>IF(ISNA(VLOOKUP(D422,'[3]Table APOQUA files'!$B:$B,1,FALSE)),"NO","YES")</f>
        <v>YES</v>
      </c>
      <c r="N422" s="55" t="str">
        <f>IF(ISNA(VLOOKUP(D422,'Base PFR table'!K:K,1,FALSE)),"NO","YES")</f>
        <v>NO</v>
      </c>
      <c r="O422" s="35" t="s">
        <v>2858</v>
      </c>
      <c r="P422" s="35" t="s">
        <v>2858</v>
      </c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</row>
    <row r="423" spans="3:104" ht="15" customHeight="1" x14ac:dyDescent="0.25">
      <c r="C423" s="3" t="s">
        <v>2087</v>
      </c>
      <c r="D423" s="60" t="s">
        <v>24</v>
      </c>
      <c r="E423" s="56" t="s">
        <v>979</v>
      </c>
      <c r="F423" s="57" t="s">
        <v>1208</v>
      </c>
      <c r="G423" s="58" t="s">
        <v>1392</v>
      </c>
      <c r="H423" s="58" t="s">
        <v>1173</v>
      </c>
      <c r="I423" s="58" t="s">
        <v>1186</v>
      </c>
      <c r="J423" s="59">
        <v>39608</v>
      </c>
      <c r="K423" s="59">
        <v>41225</v>
      </c>
      <c r="L423" s="58" t="s">
        <v>2645</v>
      </c>
      <c r="M423" s="33" t="str">
        <f>IF(ISNA(VLOOKUP(D423,'[3]Table APOQUA files'!$B:$B,1,FALSE)),"NO","YES")</f>
        <v>YES</v>
      </c>
      <c r="N423" s="33" t="str">
        <f>IF(ISNA(VLOOKUP(D423,'Base PFR table'!K:K,1,FALSE)),"NO","YES")</f>
        <v>NO</v>
      </c>
      <c r="O423" s="3" t="s">
        <v>2857</v>
      </c>
      <c r="P423" s="3" t="s">
        <v>2857</v>
      </c>
    </row>
    <row r="424" spans="3:104" ht="15" customHeight="1" x14ac:dyDescent="0.25">
      <c r="C424" s="3" t="s">
        <v>2087</v>
      </c>
      <c r="D424" s="60" t="s">
        <v>23</v>
      </c>
      <c r="E424" s="56" t="s">
        <v>980</v>
      </c>
      <c r="F424" s="57" t="s">
        <v>1208</v>
      </c>
      <c r="G424" s="58" t="s">
        <v>1461</v>
      </c>
      <c r="H424" s="58" t="s">
        <v>1178</v>
      </c>
      <c r="I424" s="58" t="s">
        <v>1186</v>
      </c>
      <c r="J424" s="59">
        <v>39608</v>
      </c>
      <c r="K424" s="59">
        <v>41220</v>
      </c>
      <c r="L424" s="58" t="s">
        <v>2645</v>
      </c>
      <c r="M424" s="33" t="str">
        <f>IF(ISNA(VLOOKUP(D424,'[3]Table APOQUA files'!$B:$B,1,FALSE)),"NO","YES")</f>
        <v>YES</v>
      </c>
      <c r="N424" s="33" t="str">
        <f>IF(ISNA(VLOOKUP(D424,'Base PFR table'!K:K,1,FALSE)),"NO","YES")</f>
        <v>NO</v>
      </c>
      <c r="O424" s="3" t="s">
        <v>2857</v>
      </c>
      <c r="P424" s="3" t="s">
        <v>2857</v>
      </c>
    </row>
    <row r="425" spans="3:104" ht="15" customHeight="1" x14ac:dyDescent="0.25">
      <c r="C425" s="69" t="s">
        <v>2087</v>
      </c>
      <c r="D425" s="1" t="s">
        <v>453</v>
      </c>
      <c r="E425" s="15" t="s">
        <v>981</v>
      </c>
      <c r="F425" s="20" t="s">
        <v>1716</v>
      </c>
      <c r="G425" s="9" t="s">
        <v>1306</v>
      </c>
      <c r="H425" s="9" t="s">
        <v>1178</v>
      </c>
      <c r="I425" s="9" t="s">
        <v>1186</v>
      </c>
      <c r="J425" s="10">
        <v>39608</v>
      </c>
      <c r="K425" s="10">
        <v>42811</v>
      </c>
      <c r="L425" s="9" t="s">
        <v>2843</v>
      </c>
      <c r="M425" s="33" t="str">
        <f>IF(ISNA(VLOOKUP(D425,'[3]Table APOQUA files'!$B:$B,1,FALSE)),"NO","YES")</f>
        <v>YES</v>
      </c>
      <c r="N425" s="33" t="str">
        <f>IF(ISNA(VLOOKUP(D425,'Base PFR table'!K:K,1,FALSE)),"NO","YES")</f>
        <v>NO</v>
      </c>
      <c r="O425" s="35" t="s">
        <v>2858</v>
      </c>
      <c r="P425" s="35" t="s">
        <v>2858</v>
      </c>
    </row>
    <row r="426" spans="3:104" s="18" customFormat="1" ht="15" customHeight="1" x14ac:dyDescent="0.25">
      <c r="C426" s="18" t="s">
        <v>2087</v>
      </c>
      <c r="D426" s="14" t="s">
        <v>383</v>
      </c>
      <c r="E426" s="15" t="s">
        <v>982</v>
      </c>
      <c r="F426" s="22" t="s">
        <v>1717</v>
      </c>
      <c r="G426" s="16" t="s">
        <v>1306</v>
      </c>
      <c r="H426" s="16" t="s">
        <v>1178</v>
      </c>
      <c r="I426" s="16" t="s">
        <v>1186</v>
      </c>
      <c r="J426" s="17">
        <v>39608</v>
      </c>
      <c r="K426" s="17">
        <v>43206</v>
      </c>
      <c r="L426" s="9" t="s">
        <v>2843</v>
      </c>
      <c r="M426" s="55" t="str">
        <f>IF(ISNA(VLOOKUP(D426,'[3]Table APOQUA files'!$B:$B,1,FALSE)),"NO","YES")</f>
        <v>YES</v>
      </c>
      <c r="N426" s="55" t="str">
        <f>IF(ISNA(VLOOKUP(D426,'Base PFR table'!K:K,1,FALSE)),"NO","YES")</f>
        <v>NO</v>
      </c>
      <c r="O426" s="35" t="s">
        <v>2858</v>
      </c>
      <c r="P426" s="35" t="s">
        <v>2858</v>
      </c>
    </row>
    <row r="427" spans="3:104" ht="15" customHeight="1" x14ac:dyDescent="0.25">
      <c r="C427" s="3" t="s">
        <v>2087</v>
      </c>
      <c r="D427" s="60" t="s">
        <v>382</v>
      </c>
      <c r="E427" s="56" t="s">
        <v>983</v>
      </c>
      <c r="F427" s="57" t="s">
        <v>1718</v>
      </c>
      <c r="G427" s="58" t="s">
        <v>1306</v>
      </c>
      <c r="H427" s="58" t="s">
        <v>1178</v>
      </c>
      <c r="I427" s="58" t="s">
        <v>1186</v>
      </c>
      <c r="J427" s="59">
        <v>39608</v>
      </c>
      <c r="K427" s="59">
        <v>43053</v>
      </c>
      <c r="L427" s="58" t="s">
        <v>2645</v>
      </c>
      <c r="M427" s="33" t="str">
        <f>IF(ISNA(VLOOKUP(D427,'[3]Table APOQUA files'!$B:$B,1,FALSE)),"NO","YES")</f>
        <v>YES</v>
      </c>
      <c r="N427" s="33" t="str">
        <f>IF(ISNA(VLOOKUP(D427,'Base PFR table'!K:K,1,FALSE)),"NO","YES")</f>
        <v>NO</v>
      </c>
      <c r="O427" s="3" t="s">
        <v>2857</v>
      </c>
      <c r="P427" s="3" t="s">
        <v>2857</v>
      </c>
    </row>
    <row r="428" spans="3:104" ht="15" customHeight="1" x14ac:dyDescent="0.25">
      <c r="C428" s="72" t="s">
        <v>2087</v>
      </c>
      <c r="D428" s="1" t="s">
        <v>107</v>
      </c>
      <c r="E428" s="15" t="s">
        <v>984</v>
      </c>
      <c r="F428" s="20" t="s">
        <v>1719</v>
      </c>
      <c r="G428" s="9" t="s">
        <v>1661</v>
      </c>
      <c r="H428" s="9" t="s">
        <v>1180</v>
      </c>
      <c r="I428" s="9" t="s">
        <v>2130</v>
      </c>
      <c r="J428" s="10">
        <v>39608</v>
      </c>
      <c r="K428" s="10">
        <v>44319</v>
      </c>
      <c r="L428" s="9" t="s">
        <v>1209</v>
      </c>
      <c r="M428" s="33" t="str">
        <f>IF(ISNA(VLOOKUP(D428,'[3]Table APOQUA files'!$B:$B,1,FALSE)),"NO","YES")</f>
        <v>YES</v>
      </c>
      <c r="N428" s="33" t="str">
        <f>IF(ISNA(VLOOKUP(D428,'Base PFR table'!K:K,1,FALSE)),"NO","YES")</f>
        <v>NO</v>
      </c>
      <c r="O428" s="35" t="s">
        <v>2858</v>
      </c>
      <c r="P428" s="35" t="s">
        <v>2858</v>
      </c>
    </row>
    <row r="429" spans="3:104" ht="15" customHeight="1" x14ac:dyDescent="0.25">
      <c r="C429" s="3" t="s">
        <v>2087</v>
      </c>
      <c r="D429" s="60" t="s">
        <v>100</v>
      </c>
      <c r="E429" s="56" t="s">
        <v>985</v>
      </c>
      <c r="F429" s="57" t="s">
        <v>1720</v>
      </c>
      <c r="G429" s="58" t="s">
        <v>1429</v>
      </c>
      <c r="H429" s="58" t="s">
        <v>1170</v>
      </c>
      <c r="I429" s="58" t="s">
        <v>2133</v>
      </c>
      <c r="J429" s="59">
        <v>39608</v>
      </c>
      <c r="K429" s="59">
        <v>42870</v>
      </c>
      <c r="L429" s="58" t="s">
        <v>2645</v>
      </c>
      <c r="M429" s="33" t="str">
        <f>IF(ISNA(VLOOKUP(D429,'[3]Table APOQUA files'!$B:$B,1,FALSE)),"NO","YES")</f>
        <v>YES</v>
      </c>
      <c r="N429" s="33" t="str">
        <f>IF(ISNA(VLOOKUP(D429,'Base PFR table'!K:K,1,FALSE)),"NO","YES")</f>
        <v>NO</v>
      </c>
      <c r="O429" s="3" t="s">
        <v>2857</v>
      </c>
      <c r="P429" s="3" t="s">
        <v>2857</v>
      </c>
    </row>
    <row r="430" spans="3:104" ht="15" customHeight="1" x14ac:dyDescent="0.25">
      <c r="C430" s="72" t="s">
        <v>2087</v>
      </c>
      <c r="D430" s="1" t="s">
        <v>227</v>
      </c>
      <c r="E430" s="15" t="s">
        <v>986</v>
      </c>
      <c r="F430" s="20" t="s">
        <v>1721</v>
      </c>
      <c r="G430" s="9" t="s">
        <v>1546</v>
      </c>
      <c r="H430" s="9" t="s">
        <v>1170</v>
      </c>
      <c r="I430" s="9" t="s">
        <v>2133</v>
      </c>
      <c r="J430" s="10">
        <v>39608</v>
      </c>
      <c r="K430" s="10">
        <v>44319</v>
      </c>
      <c r="L430" s="9" t="s">
        <v>1209</v>
      </c>
      <c r="M430" s="33" t="str">
        <f>IF(ISNA(VLOOKUP(D430,'[3]Table APOQUA files'!$B:$B,1,FALSE)),"NO","YES")</f>
        <v>YES</v>
      </c>
      <c r="N430" s="33" t="str">
        <f>IF(ISNA(VLOOKUP(D430,'Base PFR table'!K:K,1,FALSE)),"NO","YES")</f>
        <v>NO</v>
      </c>
      <c r="O430" s="35" t="s">
        <v>2858</v>
      </c>
      <c r="P430" s="35" t="s">
        <v>2858</v>
      </c>
    </row>
    <row r="431" spans="3:104" ht="15" customHeight="1" x14ac:dyDescent="0.25">
      <c r="C431" s="69" t="s">
        <v>2087</v>
      </c>
      <c r="D431" s="1" t="s">
        <v>93</v>
      </c>
      <c r="E431" s="15" t="s">
        <v>987</v>
      </c>
      <c r="F431" s="20" t="s">
        <v>1722</v>
      </c>
      <c r="G431" s="9" t="s">
        <v>1429</v>
      </c>
      <c r="H431" s="9" t="s">
        <v>1170</v>
      </c>
      <c r="I431" s="9" t="s">
        <v>2133</v>
      </c>
      <c r="J431" s="10">
        <v>39608</v>
      </c>
      <c r="K431" s="10">
        <v>44182</v>
      </c>
      <c r="L431" s="9" t="s">
        <v>1207</v>
      </c>
      <c r="M431" s="33" t="str">
        <f>IF(ISNA(VLOOKUP(D431,'[3]Table APOQUA files'!$B:$B,1,FALSE)),"NO","YES")</f>
        <v>YES</v>
      </c>
      <c r="N431" s="33" t="str">
        <f>IF(ISNA(VLOOKUP(D431,'Base PFR table'!K:K,1,FALSE)),"NO","YES")</f>
        <v>NO</v>
      </c>
      <c r="O431" s="35" t="s">
        <v>2858</v>
      </c>
      <c r="P431" s="35" t="s">
        <v>2858</v>
      </c>
    </row>
    <row r="432" spans="3:104" s="70" customFormat="1" ht="15" customHeight="1" x14ac:dyDescent="0.25">
      <c r="C432" s="70" t="s">
        <v>2087</v>
      </c>
      <c r="D432" s="14" t="s">
        <v>94</v>
      </c>
      <c r="E432" s="15" t="s">
        <v>988</v>
      </c>
      <c r="F432" s="22" t="s">
        <v>1723</v>
      </c>
      <c r="G432" s="16" t="s">
        <v>1429</v>
      </c>
      <c r="H432" s="16" t="s">
        <v>1170</v>
      </c>
      <c r="I432" s="16" t="s">
        <v>2133</v>
      </c>
      <c r="J432" s="17">
        <v>39608</v>
      </c>
      <c r="K432" s="17">
        <v>44131</v>
      </c>
      <c r="L432" s="16" t="s">
        <v>2843</v>
      </c>
      <c r="M432" s="55" t="str">
        <f>IF(ISNA(VLOOKUP(D432,'[3]Table APOQUA files'!$B:$B,1,FALSE)),"NO","YES")</f>
        <v>YES</v>
      </c>
      <c r="N432" s="55" t="str">
        <f>IF(ISNA(VLOOKUP(D432,'Base PFR table'!K:K,1,FALSE)),"NO","YES")</f>
        <v>NO</v>
      </c>
      <c r="O432" s="35" t="s">
        <v>2858</v>
      </c>
      <c r="P432" s="35" t="s">
        <v>2858</v>
      </c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</row>
    <row r="433" spans="1:104" ht="15" customHeight="1" x14ac:dyDescent="0.25">
      <c r="C433" s="70" t="s">
        <v>2087</v>
      </c>
      <c r="D433" s="1" t="s">
        <v>122</v>
      </c>
      <c r="E433" s="15" t="s">
        <v>989</v>
      </c>
      <c r="F433" s="20" t="s">
        <v>1724</v>
      </c>
      <c r="G433" s="9" t="s">
        <v>1321</v>
      </c>
      <c r="H433" s="9" t="s">
        <v>1174</v>
      </c>
      <c r="I433" s="9" t="s">
        <v>2129</v>
      </c>
      <c r="J433" s="10">
        <v>39608</v>
      </c>
      <c r="K433" s="10">
        <v>44090</v>
      </c>
      <c r="L433" s="9" t="s">
        <v>1209</v>
      </c>
      <c r="M433" s="33" t="str">
        <f>IF(ISNA(VLOOKUP(D433,'[3]Table APOQUA files'!$B:$B,1,FALSE)),"NO","YES")</f>
        <v>YES</v>
      </c>
      <c r="N433" s="33" t="str">
        <f>IF(ISNA(VLOOKUP(D433,'Base PFR table'!K:K,1,FALSE)),"NO","YES")</f>
        <v>NO</v>
      </c>
      <c r="O433" s="35" t="s">
        <v>2858</v>
      </c>
      <c r="P433" s="35" t="s">
        <v>2858</v>
      </c>
    </row>
    <row r="434" spans="1:104" ht="15" customHeight="1" x14ac:dyDescent="0.25">
      <c r="C434" s="3" t="s">
        <v>2087</v>
      </c>
      <c r="D434" s="60" t="s">
        <v>422</v>
      </c>
      <c r="E434" s="56" t="s">
        <v>990</v>
      </c>
      <c r="F434" s="57" t="s">
        <v>1208</v>
      </c>
      <c r="G434" s="58" t="s">
        <v>1321</v>
      </c>
      <c r="H434" s="58" t="s">
        <v>1174</v>
      </c>
      <c r="I434" s="58" t="s">
        <v>2130</v>
      </c>
      <c r="J434" s="59">
        <v>39608</v>
      </c>
      <c r="K434" s="59">
        <v>40480</v>
      </c>
      <c r="L434" s="58" t="s">
        <v>2645</v>
      </c>
      <c r="M434" s="33" t="str">
        <f>IF(ISNA(VLOOKUP(D434,'[3]Table APOQUA files'!$B:$B,1,FALSE)),"NO","YES")</f>
        <v>YES</v>
      </c>
      <c r="N434" s="33" t="str">
        <f>IF(ISNA(VLOOKUP(D434,'Base PFR table'!K:K,1,FALSE)),"NO","YES")</f>
        <v>NO</v>
      </c>
      <c r="O434" s="3" t="s">
        <v>2857</v>
      </c>
      <c r="P434" s="3" t="s">
        <v>2857</v>
      </c>
    </row>
    <row r="435" spans="1:104" ht="15" customHeight="1" x14ac:dyDescent="0.25">
      <c r="C435" s="3" t="s">
        <v>2087</v>
      </c>
      <c r="D435" s="60" t="s">
        <v>190</v>
      </c>
      <c r="E435" s="56" t="s">
        <v>991</v>
      </c>
      <c r="F435" s="57" t="s">
        <v>1208</v>
      </c>
      <c r="G435" s="58" t="s">
        <v>1699</v>
      </c>
      <c r="H435" s="58" t="s">
        <v>1174</v>
      </c>
      <c r="I435" s="58">
        <v>0</v>
      </c>
      <c r="J435" s="59">
        <v>39608</v>
      </c>
      <c r="K435" s="59">
        <v>43147</v>
      </c>
      <c r="L435" s="58" t="s">
        <v>2645</v>
      </c>
      <c r="M435" s="33" t="str">
        <f>IF(ISNA(VLOOKUP(D435,'[3]Table APOQUA files'!$B:$B,1,FALSE)),"NO","YES")</f>
        <v>YES</v>
      </c>
      <c r="N435" s="33" t="str">
        <f>IF(ISNA(VLOOKUP(D435,'Base PFR table'!K:K,1,FALSE)),"NO","YES")</f>
        <v>NO</v>
      </c>
      <c r="O435" s="3" t="s">
        <v>2857</v>
      </c>
      <c r="P435" s="3" t="s">
        <v>2857</v>
      </c>
    </row>
    <row r="436" spans="1:104" ht="15" customHeight="1" x14ac:dyDescent="0.25">
      <c r="C436" s="69" t="s">
        <v>2087</v>
      </c>
      <c r="D436" s="1" t="s">
        <v>449</v>
      </c>
      <c r="E436" s="15" t="s">
        <v>992</v>
      </c>
      <c r="F436" s="20" t="s">
        <v>1725</v>
      </c>
      <c r="G436" s="9" t="s">
        <v>1726</v>
      </c>
      <c r="H436" s="9" t="s">
        <v>1173</v>
      </c>
      <c r="I436" s="9" t="s">
        <v>1186</v>
      </c>
      <c r="J436" s="10">
        <v>39608</v>
      </c>
      <c r="K436" s="10">
        <v>44328</v>
      </c>
      <c r="L436" s="9" t="s">
        <v>1207</v>
      </c>
      <c r="M436" s="33" t="str">
        <f>IF(ISNA(VLOOKUP(D436,'[3]Table APOQUA files'!$B:$B,1,FALSE)),"NO","YES")</f>
        <v>YES</v>
      </c>
      <c r="N436" s="33" t="str">
        <f>IF(ISNA(VLOOKUP(D436,'Base PFR table'!K:K,1,FALSE)),"NO","YES")</f>
        <v>NO</v>
      </c>
      <c r="O436" s="35" t="s">
        <v>2858</v>
      </c>
      <c r="P436" s="35" t="s">
        <v>2858</v>
      </c>
    </row>
    <row r="437" spans="1:104" ht="15" customHeight="1" x14ac:dyDescent="0.25">
      <c r="C437" s="69" t="s">
        <v>2087</v>
      </c>
      <c r="D437" s="1" t="s">
        <v>390</v>
      </c>
      <c r="E437" s="15" t="s">
        <v>993</v>
      </c>
      <c r="F437" s="20" t="s">
        <v>1727</v>
      </c>
      <c r="G437" s="9" t="s">
        <v>1603</v>
      </c>
      <c r="H437" s="9" t="s">
        <v>1183</v>
      </c>
      <c r="I437" s="9" t="s">
        <v>2130</v>
      </c>
      <c r="J437" s="10">
        <v>39608</v>
      </c>
      <c r="K437" s="10">
        <v>43454</v>
      </c>
      <c r="L437" s="16" t="s">
        <v>2843</v>
      </c>
      <c r="M437" s="33" t="str">
        <f>IF(ISNA(VLOOKUP(D437,'[3]Table APOQUA files'!$B:$B,1,FALSE)),"NO","YES")</f>
        <v>YES</v>
      </c>
      <c r="N437" s="33" t="str">
        <f>IF(ISNA(VLOOKUP(D437,'Base PFR table'!K:K,1,FALSE)),"NO","YES")</f>
        <v>NO</v>
      </c>
      <c r="O437" s="35" t="s">
        <v>2858</v>
      </c>
      <c r="P437" s="35" t="s">
        <v>2858</v>
      </c>
    </row>
    <row r="438" spans="1:104" ht="15" customHeight="1" x14ac:dyDescent="0.25">
      <c r="C438" s="3" t="s">
        <v>2087</v>
      </c>
      <c r="D438" s="60" t="s">
        <v>182</v>
      </c>
      <c r="E438" s="56" t="s">
        <v>994</v>
      </c>
      <c r="F438" s="57" t="s">
        <v>1208</v>
      </c>
      <c r="G438" s="58" t="s">
        <v>1616</v>
      </c>
      <c r="H438" s="58" t="s">
        <v>1174</v>
      </c>
      <c r="I438" s="58" t="s">
        <v>2130</v>
      </c>
      <c r="J438" s="59">
        <v>39608</v>
      </c>
      <c r="K438" s="59">
        <v>43238</v>
      </c>
      <c r="L438" s="58" t="s">
        <v>2645</v>
      </c>
      <c r="M438" s="33" t="str">
        <f>IF(ISNA(VLOOKUP(D438,'[3]Table APOQUA files'!$B:$B,1,FALSE)),"NO","YES")</f>
        <v>YES</v>
      </c>
      <c r="N438" s="33" t="str">
        <f>IF(ISNA(VLOOKUP(D438,'Base PFR table'!K:K,1,FALSE)),"NO","YES")</f>
        <v>NO</v>
      </c>
      <c r="O438" s="3" t="s">
        <v>2857</v>
      </c>
      <c r="P438" s="3" t="s">
        <v>2857</v>
      </c>
    </row>
    <row r="439" spans="1:104" ht="15" customHeight="1" x14ac:dyDescent="0.25">
      <c r="C439" s="69" t="s">
        <v>2087</v>
      </c>
      <c r="D439" s="1" t="s">
        <v>293</v>
      </c>
      <c r="E439" s="15" t="s">
        <v>995</v>
      </c>
      <c r="F439" s="20" t="s">
        <v>1728</v>
      </c>
      <c r="G439" s="9" t="s">
        <v>1729</v>
      </c>
      <c r="H439" s="9" t="s">
        <v>1179</v>
      </c>
      <c r="I439" s="9" t="s">
        <v>2129</v>
      </c>
      <c r="J439" s="10">
        <v>39608</v>
      </c>
      <c r="K439" s="10">
        <v>42653</v>
      </c>
      <c r="L439" s="9" t="s">
        <v>2843</v>
      </c>
      <c r="M439" s="33" t="str">
        <f>IF(ISNA(VLOOKUP(D439,'[3]Table APOQUA files'!$B:$B,1,FALSE)),"NO","YES")</f>
        <v>YES</v>
      </c>
      <c r="N439" s="33" t="str">
        <f>IF(ISNA(VLOOKUP(D439,'Base PFR table'!K:K,1,FALSE)),"NO","YES")</f>
        <v>NO</v>
      </c>
      <c r="O439" s="35" t="s">
        <v>2858</v>
      </c>
      <c r="P439" s="35" t="s">
        <v>2858</v>
      </c>
    </row>
    <row r="440" spans="1:104" s="76" customFormat="1" ht="15" customHeight="1" x14ac:dyDescent="0.25">
      <c r="C440" s="81" t="s">
        <v>2087</v>
      </c>
      <c r="D440" s="77" t="s">
        <v>143</v>
      </c>
      <c r="E440" s="92" t="s">
        <v>996</v>
      </c>
      <c r="F440" s="78" t="s">
        <v>1730</v>
      </c>
      <c r="G440" s="79" t="s">
        <v>1559</v>
      </c>
      <c r="H440" s="79" t="s">
        <v>1174</v>
      </c>
      <c r="I440" s="79" t="s">
        <v>2133</v>
      </c>
      <c r="J440" s="10">
        <v>39608</v>
      </c>
      <c r="K440" s="10">
        <v>44894</v>
      </c>
      <c r="L440" s="79" t="s">
        <v>2843</v>
      </c>
      <c r="M440" s="80" t="str">
        <f>IF(ISNA(VLOOKUP(D440,'[3]Table APOQUA files'!$B:$B,1,FALSE)),"NO","YES")</f>
        <v>YES</v>
      </c>
      <c r="N440" s="80" t="str">
        <f>IF(ISNA(VLOOKUP(D440,'Base PFR table'!K:K,1,FALSE)),"NO","YES")</f>
        <v>NO</v>
      </c>
      <c r="O440" s="35" t="s">
        <v>2858</v>
      </c>
      <c r="P440" s="35" t="s">
        <v>2858</v>
      </c>
    </row>
    <row r="441" spans="1:104" s="18" customFormat="1" ht="15" customHeight="1" x14ac:dyDescent="0.25">
      <c r="A441" s="70"/>
      <c r="B441" s="70"/>
      <c r="C441" s="70" t="s">
        <v>2087</v>
      </c>
      <c r="D441" s="14" t="s">
        <v>217</v>
      </c>
      <c r="E441" s="15" t="s">
        <v>997</v>
      </c>
      <c r="F441" s="22" t="s">
        <v>1731</v>
      </c>
      <c r="G441" s="16" t="s">
        <v>1543</v>
      </c>
      <c r="H441" s="16" t="s">
        <v>1176</v>
      </c>
      <c r="I441" s="16" t="s">
        <v>2130</v>
      </c>
      <c r="J441" s="17">
        <v>39608</v>
      </c>
      <c r="K441" s="17">
        <v>39633</v>
      </c>
      <c r="L441" s="16" t="s">
        <v>2843</v>
      </c>
      <c r="M441" s="55" t="str">
        <f>IF(ISNA(VLOOKUP(D441,'[3]Table APOQUA files'!$B:$B,1,FALSE)),"NO","YES")</f>
        <v>YES</v>
      </c>
      <c r="N441" s="55" t="str">
        <f>IF(ISNA(VLOOKUP(D441,'Base PFR table'!K:K,1,FALSE)),"NO","YES")</f>
        <v>NO</v>
      </c>
      <c r="O441" s="35" t="s">
        <v>2858</v>
      </c>
      <c r="P441" s="35" t="s">
        <v>2858</v>
      </c>
    </row>
    <row r="442" spans="1:104" ht="15" customHeight="1" x14ac:dyDescent="0.25">
      <c r="C442" s="72" t="s">
        <v>2087</v>
      </c>
      <c r="D442" s="1" t="s">
        <v>319</v>
      </c>
      <c r="E442" s="15" t="s">
        <v>998</v>
      </c>
      <c r="F442" s="20" t="s">
        <v>1732</v>
      </c>
      <c r="G442" s="9" t="s">
        <v>1328</v>
      </c>
      <c r="H442" s="9" t="s">
        <v>1180</v>
      </c>
      <c r="I442" s="9" t="s">
        <v>1186</v>
      </c>
      <c r="J442" s="10">
        <v>39608</v>
      </c>
      <c r="K442" s="10">
        <v>45621</v>
      </c>
      <c r="L442" s="9" t="s">
        <v>1487</v>
      </c>
      <c r="M442" s="33" t="str">
        <f>IF(ISNA(VLOOKUP(D442,'[3]Table APOQUA files'!$B:$B,1,FALSE)),"NO","YES")</f>
        <v>YES</v>
      </c>
      <c r="N442" s="33" t="str">
        <f>IF(ISNA(VLOOKUP(D442,'Base PFR table'!K:K,1,FALSE)),"NO","YES")</f>
        <v>NO</v>
      </c>
      <c r="O442" s="35" t="s">
        <v>2858</v>
      </c>
      <c r="P442" s="35" t="s">
        <v>2858</v>
      </c>
    </row>
    <row r="443" spans="1:104" ht="15" customHeight="1" x14ac:dyDescent="0.25">
      <c r="C443" s="3" t="s">
        <v>2087</v>
      </c>
      <c r="D443" s="60" t="s">
        <v>181</v>
      </c>
      <c r="E443" s="56" t="s">
        <v>999</v>
      </c>
      <c r="F443" s="57" t="s">
        <v>1733</v>
      </c>
      <c r="G443" s="58" t="s">
        <v>1734</v>
      </c>
      <c r="H443" s="58" t="s">
        <v>1183</v>
      </c>
      <c r="I443" s="58">
        <v>0</v>
      </c>
      <c r="J443" s="59">
        <v>39608</v>
      </c>
      <c r="K443" s="59">
        <v>42724</v>
      </c>
      <c r="L443" s="58" t="s">
        <v>2645</v>
      </c>
      <c r="M443" s="33" t="str">
        <f>IF(ISNA(VLOOKUP(D443,'[3]Table APOQUA files'!$B:$B,1,FALSE)),"NO","YES")</f>
        <v>YES</v>
      </c>
      <c r="N443" s="33" t="str">
        <f>IF(ISNA(VLOOKUP(D443,'Base PFR table'!K:K,1,FALSE)),"NO","YES")</f>
        <v>NO</v>
      </c>
      <c r="O443" s="3" t="s">
        <v>2857</v>
      </c>
      <c r="P443" s="3" t="s">
        <v>2857</v>
      </c>
    </row>
    <row r="444" spans="1:104" ht="15" customHeight="1" x14ac:dyDescent="0.25">
      <c r="C444" s="72" t="s">
        <v>2087</v>
      </c>
      <c r="D444" s="1" t="s">
        <v>228</v>
      </c>
      <c r="E444" s="15" t="s">
        <v>1000</v>
      </c>
      <c r="F444" s="20" t="s">
        <v>1735</v>
      </c>
      <c r="G444" s="9" t="s">
        <v>1736</v>
      </c>
      <c r="H444" s="9" t="s">
        <v>1170</v>
      </c>
      <c r="I444" s="9" t="s">
        <v>2133</v>
      </c>
      <c r="J444" s="10">
        <v>39608</v>
      </c>
      <c r="K444" s="10">
        <v>44319</v>
      </c>
      <c r="L444" s="9" t="s">
        <v>1209</v>
      </c>
      <c r="M444" s="33" t="str">
        <f>IF(ISNA(VLOOKUP(D444,'[3]Table APOQUA files'!$B:$B,1,FALSE)),"NO","YES")</f>
        <v>YES</v>
      </c>
      <c r="N444" s="33" t="str">
        <f>IF(ISNA(VLOOKUP(D444,'Base PFR table'!K:K,1,FALSE)),"NO","YES")</f>
        <v>NO</v>
      </c>
      <c r="O444" s="35" t="s">
        <v>2858</v>
      </c>
      <c r="P444" s="35" t="s">
        <v>2858</v>
      </c>
    </row>
    <row r="445" spans="1:104" ht="15" customHeight="1" x14ac:dyDescent="0.25">
      <c r="C445" s="72" t="s">
        <v>2087</v>
      </c>
      <c r="D445" s="1" t="s">
        <v>450</v>
      </c>
      <c r="E445" s="15" t="s">
        <v>1001</v>
      </c>
      <c r="F445" s="20" t="s">
        <v>1737</v>
      </c>
      <c r="G445" s="9" t="s">
        <v>1543</v>
      </c>
      <c r="H445" s="9" t="s">
        <v>1174</v>
      </c>
      <c r="I445" s="9" t="s">
        <v>2130</v>
      </c>
      <c r="J445" s="10">
        <v>39608</v>
      </c>
      <c r="K445" s="10">
        <v>45222</v>
      </c>
      <c r="L445" s="9" t="s">
        <v>1487</v>
      </c>
      <c r="M445" s="33" t="s">
        <v>2803</v>
      </c>
      <c r="N445" s="33" t="str">
        <f>IF(ISNA(VLOOKUP(D445,'Base PFR table'!K:K,1,FALSE)),"NO","YES")</f>
        <v>NO</v>
      </c>
      <c r="O445" s="35" t="s">
        <v>2858</v>
      </c>
      <c r="P445" s="35" t="s">
        <v>2858</v>
      </c>
    </row>
    <row r="446" spans="1:104" ht="15" customHeight="1" x14ac:dyDescent="0.25">
      <c r="C446" s="69" t="s">
        <v>2087</v>
      </c>
      <c r="D446" s="1" t="s">
        <v>125</v>
      </c>
      <c r="E446" s="15" t="s">
        <v>2801</v>
      </c>
      <c r="F446" s="20" t="s">
        <v>2802</v>
      </c>
      <c r="G446" s="9" t="s">
        <v>1321</v>
      </c>
      <c r="H446" s="9" t="s">
        <v>1174</v>
      </c>
      <c r="I446" s="9" t="s">
        <v>2130</v>
      </c>
      <c r="J446" s="10">
        <v>39608</v>
      </c>
      <c r="K446" s="10">
        <v>45534</v>
      </c>
      <c r="L446" s="9" t="s">
        <v>1209</v>
      </c>
      <c r="M446" s="33" t="str">
        <f>IF(ISNA(VLOOKUP(D446,'[3]Table APOQUA files'!$B:$B,1,FALSE)),"NO","YES")</f>
        <v>YES</v>
      </c>
      <c r="N446" s="33" t="str">
        <f>IF(ISNA(VLOOKUP(D446,'Base PFR table'!K:K,1,FALSE)),"NO","YES")</f>
        <v>NO</v>
      </c>
      <c r="O446" s="35" t="s">
        <v>2858</v>
      </c>
      <c r="P446" s="35" t="s">
        <v>2858</v>
      </c>
    </row>
    <row r="447" spans="1:104" s="70" customFormat="1" ht="15" customHeight="1" x14ac:dyDescent="0.25">
      <c r="C447" s="70" t="s">
        <v>2087</v>
      </c>
      <c r="D447" s="14" t="s">
        <v>97</v>
      </c>
      <c r="E447" s="15" t="s">
        <v>1002</v>
      </c>
      <c r="F447" s="22" t="s">
        <v>1739</v>
      </c>
      <c r="G447" s="16" t="s">
        <v>1222</v>
      </c>
      <c r="H447" s="16" t="s">
        <v>1171</v>
      </c>
      <c r="I447" s="16" t="s">
        <v>2133</v>
      </c>
      <c r="J447" s="17">
        <v>39608</v>
      </c>
      <c r="K447" s="17">
        <v>44319</v>
      </c>
      <c r="L447" s="16" t="s">
        <v>2843</v>
      </c>
      <c r="M447" s="55" t="str">
        <f>IF(ISNA(VLOOKUP(D447,'[3]Table APOQUA files'!$B:$B,1,FALSE)),"NO","YES")</f>
        <v>YES</v>
      </c>
      <c r="N447" s="55" t="str">
        <f>IF(ISNA(VLOOKUP(D447,'Base PFR table'!K:K,1,FALSE)),"NO","YES")</f>
        <v>NO</v>
      </c>
      <c r="O447" s="35" t="s">
        <v>2858</v>
      </c>
      <c r="P447" s="35" t="s">
        <v>2858</v>
      </c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  <c r="CU447" s="18"/>
      <c r="CV447" s="18"/>
      <c r="CW447" s="18"/>
      <c r="CX447" s="18"/>
      <c r="CY447" s="18"/>
      <c r="CZ447" s="18"/>
    </row>
    <row r="448" spans="1:104" ht="15" customHeight="1" x14ac:dyDescent="0.25">
      <c r="C448" s="69" t="s">
        <v>2087</v>
      </c>
      <c r="D448" s="1" t="s">
        <v>446</v>
      </c>
      <c r="E448" s="15" t="s">
        <v>1003</v>
      </c>
      <c r="F448" s="22" t="s">
        <v>1740</v>
      </c>
      <c r="G448" s="9" t="s">
        <v>1690</v>
      </c>
      <c r="H448" s="9" t="s">
        <v>1178</v>
      </c>
      <c r="I448" s="9" t="s">
        <v>1186</v>
      </c>
      <c r="J448" s="10">
        <v>39608</v>
      </c>
      <c r="K448" s="10">
        <v>43042</v>
      </c>
      <c r="L448" s="9" t="s">
        <v>2843</v>
      </c>
      <c r="M448" s="33" t="str">
        <f>IF(ISNA(VLOOKUP(D448,'[3]Table APOQUA files'!$B:$B,1,FALSE)),"NO","YES")</f>
        <v>YES</v>
      </c>
      <c r="N448" s="33" t="str">
        <f>IF(ISNA(VLOOKUP(D448,'Base PFR table'!K:K,1,FALSE)),"NO","YES")</f>
        <v>NO</v>
      </c>
      <c r="O448" s="35" t="s">
        <v>2858</v>
      </c>
      <c r="P448" s="35" t="s">
        <v>2858</v>
      </c>
    </row>
    <row r="449" spans="3:104" ht="15" customHeight="1" x14ac:dyDescent="0.25">
      <c r="C449" s="3" t="s">
        <v>2087</v>
      </c>
      <c r="D449" s="60" t="s">
        <v>324</v>
      </c>
      <c r="E449" s="56" t="s">
        <v>1004</v>
      </c>
      <c r="F449" s="57" t="s">
        <v>1208</v>
      </c>
      <c r="G449" s="58" t="s">
        <v>1741</v>
      </c>
      <c r="H449" s="58" t="s">
        <v>1176</v>
      </c>
      <c r="I449" s="58" t="s">
        <v>2130</v>
      </c>
      <c r="J449" s="59">
        <v>39608</v>
      </c>
      <c r="K449" s="59">
        <v>41220</v>
      </c>
      <c r="L449" s="58" t="s">
        <v>2645</v>
      </c>
      <c r="M449" s="33" t="str">
        <f>IF(ISNA(VLOOKUP(D449,'[3]Table APOQUA files'!$B:$B,1,FALSE)),"NO","YES")</f>
        <v>YES</v>
      </c>
      <c r="N449" s="33" t="str">
        <f>IF(ISNA(VLOOKUP(D449,'Base PFR table'!K:K,1,FALSE)),"NO","YES")</f>
        <v>NO</v>
      </c>
      <c r="O449" s="3" t="s">
        <v>2857</v>
      </c>
      <c r="P449" s="3" t="s">
        <v>2857</v>
      </c>
    </row>
    <row r="450" spans="3:104" ht="15" customHeight="1" x14ac:dyDescent="0.25">
      <c r="C450" s="72" t="s">
        <v>2087</v>
      </c>
      <c r="D450" s="1" t="s">
        <v>63</v>
      </c>
      <c r="E450" s="15" t="s">
        <v>1005</v>
      </c>
      <c r="F450" s="20" t="s">
        <v>1742</v>
      </c>
      <c r="G450" s="9" t="s">
        <v>1741</v>
      </c>
      <c r="H450" s="9" t="s">
        <v>1176</v>
      </c>
      <c r="I450" s="9" t="s">
        <v>2130</v>
      </c>
      <c r="J450" s="10">
        <v>39608</v>
      </c>
      <c r="K450" s="10">
        <v>45568</v>
      </c>
      <c r="L450" s="9" t="s">
        <v>1487</v>
      </c>
      <c r="M450" s="33" t="str">
        <f>IF(ISNA(VLOOKUP(D450,'[3]Table APOQUA files'!$B:$B,1,FALSE)),"NO","YES")</f>
        <v>YES</v>
      </c>
      <c r="N450" s="33" t="str">
        <f>IF(ISNA(VLOOKUP(D450,'Base PFR table'!K:K,1,FALSE)),"NO","YES")</f>
        <v>NO</v>
      </c>
      <c r="O450" s="35" t="s">
        <v>2858</v>
      </c>
      <c r="P450" s="35" t="s">
        <v>2858</v>
      </c>
    </row>
    <row r="451" spans="3:104" ht="15" customHeight="1" x14ac:dyDescent="0.25">
      <c r="C451" s="69" t="s">
        <v>2087</v>
      </c>
      <c r="D451" s="1" t="s">
        <v>207</v>
      </c>
      <c r="E451" s="15" t="s">
        <v>1006</v>
      </c>
      <c r="F451" s="20" t="s">
        <v>1743</v>
      </c>
      <c r="G451" s="9" t="s">
        <v>1744</v>
      </c>
      <c r="H451" s="9" t="s">
        <v>608</v>
      </c>
      <c r="I451" s="9" t="s">
        <v>2057</v>
      </c>
      <c r="J451" s="10">
        <v>39608</v>
      </c>
      <c r="K451" s="10">
        <v>45449</v>
      </c>
      <c r="L451" s="9" t="s">
        <v>1207</v>
      </c>
      <c r="M451" s="33" t="str">
        <f>IF(ISNA(VLOOKUP(D451,'[3]Table APOQUA files'!$B:$B,1,FALSE)),"NO","YES")</f>
        <v>YES</v>
      </c>
      <c r="N451" s="33" t="str">
        <f>IF(ISNA(VLOOKUP(D451,'Base PFR table'!K:K,1,FALSE)),"NO","YES")</f>
        <v>NO</v>
      </c>
      <c r="O451" s="35" t="s">
        <v>2858</v>
      </c>
      <c r="P451" s="35" t="s">
        <v>2858</v>
      </c>
    </row>
    <row r="452" spans="3:104" ht="15" customHeight="1" x14ac:dyDescent="0.25">
      <c r="C452" s="69" t="s">
        <v>2087</v>
      </c>
      <c r="D452" s="1" t="s">
        <v>174</v>
      </c>
      <c r="E452" s="15" t="s">
        <v>1007</v>
      </c>
      <c r="F452" s="20" t="s">
        <v>1745</v>
      </c>
      <c r="G452" s="9" t="s">
        <v>1658</v>
      </c>
      <c r="H452" s="9" t="s">
        <v>1169</v>
      </c>
      <c r="I452" s="9" t="s">
        <v>2130</v>
      </c>
      <c r="J452" s="10">
        <v>39608</v>
      </c>
      <c r="K452" s="10">
        <v>44319</v>
      </c>
      <c r="L452" s="9" t="s">
        <v>1209</v>
      </c>
      <c r="M452" s="33" t="str">
        <f>IF(ISNA(VLOOKUP(D452,'[3]Table APOQUA files'!$B:$B,1,FALSE)),"NO","YES")</f>
        <v>YES</v>
      </c>
      <c r="N452" s="33" t="str">
        <f>IF(ISNA(VLOOKUP(D452,'Base PFR table'!K:K,1,FALSE)),"NO","YES")</f>
        <v>NO</v>
      </c>
      <c r="O452" s="35" t="s">
        <v>2858</v>
      </c>
      <c r="P452" s="35" t="s">
        <v>2858</v>
      </c>
    </row>
    <row r="453" spans="3:104" s="70" customFormat="1" ht="15" customHeight="1" x14ac:dyDescent="0.25">
      <c r="C453" s="70" t="s">
        <v>2087</v>
      </c>
      <c r="D453" s="14" t="s">
        <v>398</v>
      </c>
      <c r="E453" s="15" t="s">
        <v>1008</v>
      </c>
      <c r="F453" s="22" t="s">
        <v>1746</v>
      </c>
      <c r="G453" s="16" t="s">
        <v>1747</v>
      </c>
      <c r="H453" s="16" t="s">
        <v>1174</v>
      </c>
      <c r="I453" s="16" t="s">
        <v>2130</v>
      </c>
      <c r="J453" s="17">
        <v>39608</v>
      </c>
      <c r="K453" s="17">
        <v>45236</v>
      </c>
      <c r="L453" s="16" t="s">
        <v>2843</v>
      </c>
      <c r="M453" s="55" t="str">
        <f>IF(ISNA(VLOOKUP(D453,'[3]Table APOQUA files'!$B:$B,1,FALSE)),"NO","YES")</f>
        <v>YES</v>
      </c>
      <c r="N453" s="55" t="str">
        <f>IF(ISNA(VLOOKUP(D453,'Base PFR table'!K:K,1,FALSE)),"NO","YES")</f>
        <v>NO</v>
      </c>
      <c r="O453" s="35" t="s">
        <v>2858</v>
      </c>
      <c r="P453" s="35" t="s">
        <v>2858</v>
      </c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18"/>
      <c r="CW453" s="18"/>
      <c r="CX453" s="18"/>
      <c r="CY453" s="18"/>
      <c r="CZ453" s="18"/>
    </row>
    <row r="454" spans="3:104" ht="15" customHeight="1" x14ac:dyDescent="0.25">
      <c r="C454" s="72" t="s">
        <v>2087</v>
      </c>
      <c r="D454" s="1" t="s">
        <v>425</v>
      </c>
      <c r="E454" s="15" t="s">
        <v>1009</v>
      </c>
      <c r="F454" s="20" t="s">
        <v>1748</v>
      </c>
      <c r="G454" s="9" t="s">
        <v>1317</v>
      </c>
      <c r="H454" s="9" t="s">
        <v>1179</v>
      </c>
      <c r="I454" s="9" t="s">
        <v>2129</v>
      </c>
      <c r="J454" s="10">
        <v>39608</v>
      </c>
      <c r="K454" s="10">
        <v>45623</v>
      </c>
      <c r="L454" s="9" t="s">
        <v>1487</v>
      </c>
      <c r="M454" s="33" t="str">
        <f>IF(ISNA(VLOOKUP(D454,'[3]Table APOQUA files'!$B:$B,1,FALSE)),"NO","YES")</f>
        <v>YES</v>
      </c>
      <c r="N454" s="33" t="str">
        <f>IF(ISNA(VLOOKUP(D454,'Base PFR table'!K:K,1,FALSE)),"NO","YES")</f>
        <v>NO</v>
      </c>
      <c r="O454" s="35" t="s">
        <v>2858</v>
      </c>
      <c r="P454" s="35" t="s">
        <v>2858</v>
      </c>
    </row>
    <row r="455" spans="3:104" ht="15" customHeight="1" x14ac:dyDescent="0.25">
      <c r="C455" s="72" t="s">
        <v>2087</v>
      </c>
      <c r="D455" s="1" t="s">
        <v>273</v>
      </c>
      <c r="E455" s="15" t="s">
        <v>1010</v>
      </c>
      <c r="F455" s="20" t="s">
        <v>1749</v>
      </c>
      <c r="G455" s="9" t="s">
        <v>1317</v>
      </c>
      <c r="H455" s="9" t="s">
        <v>1179</v>
      </c>
      <c r="I455" s="9" t="s">
        <v>2129</v>
      </c>
      <c r="J455" s="10">
        <v>39608</v>
      </c>
      <c r="K455" s="10">
        <v>45623</v>
      </c>
      <c r="L455" s="9" t="s">
        <v>2649</v>
      </c>
      <c r="M455" s="33" t="str">
        <f>IF(ISNA(VLOOKUP(D455,'[3]Table APOQUA files'!$B:$B,1,FALSE)),"NO","YES")</f>
        <v>YES</v>
      </c>
      <c r="N455" s="33" t="str">
        <f>IF(ISNA(VLOOKUP(D455,'Base PFR table'!K:K,1,FALSE)),"NO","YES")</f>
        <v>NO</v>
      </c>
      <c r="O455" s="35" t="s">
        <v>2858</v>
      </c>
      <c r="P455" s="35" t="s">
        <v>2858</v>
      </c>
    </row>
    <row r="456" spans="3:104" ht="15" customHeight="1" x14ac:dyDescent="0.25">
      <c r="C456" s="72" t="s">
        <v>2087</v>
      </c>
      <c r="D456" s="1" t="s">
        <v>180</v>
      </c>
      <c r="E456" s="15" t="s">
        <v>1011</v>
      </c>
      <c r="F456" s="20" t="s">
        <v>1750</v>
      </c>
      <c r="G456" s="9" t="s">
        <v>1543</v>
      </c>
      <c r="H456" s="9" t="s">
        <v>1176</v>
      </c>
      <c r="I456" s="9" t="s">
        <v>2129</v>
      </c>
      <c r="J456" s="10">
        <v>39608</v>
      </c>
      <c r="K456" s="10">
        <v>45222</v>
      </c>
      <c r="L456" s="9" t="s">
        <v>1209</v>
      </c>
      <c r="M456" s="33" t="str">
        <f>IF(ISNA(VLOOKUP(D456,'[3]Table APOQUA files'!$B:$B,1,FALSE)),"NO","YES")</f>
        <v>YES</v>
      </c>
      <c r="N456" s="33" t="str">
        <f>IF(ISNA(VLOOKUP(D456,'Base PFR table'!K:K,1,FALSE)),"NO","YES")</f>
        <v>NO</v>
      </c>
      <c r="O456" s="35" t="s">
        <v>2858</v>
      </c>
      <c r="P456" s="35" t="s">
        <v>2858</v>
      </c>
    </row>
    <row r="457" spans="3:104" ht="15" customHeight="1" x14ac:dyDescent="0.25">
      <c r="C457" s="3" t="s">
        <v>2087</v>
      </c>
      <c r="D457" s="60" t="s">
        <v>375</v>
      </c>
      <c r="E457" s="56" t="s">
        <v>1012</v>
      </c>
      <c r="F457" s="57" t="s">
        <v>1208</v>
      </c>
      <c r="G457" s="58" t="s">
        <v>1711</v>
      </c>
      <c r="H457" s="58" t="s">
        <v>1183</v>
      </c>
      <c r="I457" s="58" t="s">
        <v>2129</v>
      </c>
      <c r="J457" s="59">
        <v>39608</v>
      </c>
      <c r="K457" s="59">
        <v>43171</v>
      </c>
      <c r="L457" s="58" t="s">
        <v>2645</v>
      </c>
      <c r="M457" s="33" t="str">
        <f>IF(ISNA(VLOOKUP(D457,'[3]Table APOQUA files'!$B:$B,1,FALSE)),"NO","YES")</f>
        <v>YES</v>
      </c>
      <c r="N457" s="33" t="str">
        <f>IF(ISNA(VLOOKUP(D457,'Base PFR table'!K:K,1,FALSE)),"NO","YES")</f>
        <v>NO</v>
      </c>
      <c r="O457" s="3" t="s">
        <v>2857</v>
      </c>
      <c r="P457" s="3" t="s">
        <v>2857</v>
      </c>
    </row>
    <row r="458" spans="3:104" ht="15" customHeight="1" x14ac:dyDescent="0.25">
      <c r="C458" s="3" t="s">
        <v>2087</v>
      </c>
      <c r="D458" s="60" t="s">
        <v>15</v>
      </c>
      <c r="E458" s="56" t="s">
        <v>1013</v>
      </c>
      <c r="F458" s="57" t="s">
        <v>1208</v>
      </c>
      <c r="G458" s="58" t="s">
        <v>1240</v>
      </c>
      <c r="H458" s="58" t="s">
        <v>1173</v>
      </c>
      <c r="I458" s="58" t="s">
        <v>1186</v>
      </c>
      <c r="J458" s="59">
        <v>39608</v>
      </c>
      <c r="K458" s="59">
        <v>41285</v>
      </c>
      <c r="L458" s="58" t="s">
        <v>2645</v>
      </c>
      <c r="M458" s="33" t="str">
        <f>IF(ISNA(VLOOKUP(D458,'[3]Table APOQUA files'!$B:$B,1,FALSE)),"NO","YES")</f>
        <v>YES</v>
      </c>
      <c r="N458" s="33" t="str">
        <f>IF(ISNA(VLOOKUP(D458,'Base PFR table'!K:K,1,FALSE)),"NO","YES")</f>
        <v>NO</v>
      </c>
      <c r="O458" s="3" t="s">
        <v>2857</v>
      </c>
      <c r="P458" s="3" t="s">
        <v>2857</v>
      </c>
    </row>
    <row r="459" spans="3:104" ht="15" customHeight="1" x14ac:dyDescent="0.25">
      <c r="C459" s="72" t="s">
        <v>2087</v>
      </c>
      <c r="D459" s="1" t="s">
        <v>235</v>
      </c>
      <c r="E459" s="15" t="s">
        <v>1014</v>
      </c>
      <c r="F459" s="20" t="s">
        <v>1751</v>
      </c>
      <c r="G459" s="9" t="s">
        <v>1752</v>
      </c>
      <c r="H459" s="9" t="s">
        <v>593</v>
      </c>
      <c r="I459" s="9" t="s">
        <v>2122</v>
      </c>
      <c r="J459" s="10">
        <v>39608</v>
      </c>
      <c r="K459" s="10">
        <v>43999</v>
      </c>
      <c r="L459" s="9" t="s">
        <v>1209</v>
      </c>
      <c r="M459" s="33" t="str">
        <f>IF(ISNA(VLOOKUP(D459,'[3]Table APOQUA files'!$B:$B,1,FALSE)),"NO","YES")</f>
        <v>YES</v>
      </c>
      <c r="N459" s="33" t="str">
        <f>IF(ISNA(VLOOKUP(D459,'Base PFR table'!K:K,1,FALSE)),"NO","YES")</f>
        <v>NO</v>
      </c>
      <c r="O459" s="35" t="s">
        <v>2858</v>
      </c>
      <c r="P459" s="35" t="s">
        <v>2858</v>
      </c>
    </row>
    <row r="460" spans="3:104" ht="15" customHeight="1" x14ac:dyDescent="0.25">
      <c r="C460" s="72" t="s">
        <v>2087</v>
      </c>
      <c r="D460" s="1" t="s">
        <v>189</v>
      </c>
      <c r="E460" s="15" t="s">
        <v>1015</v>
      </c>
      <c r="F460" s="20" t="s">
        <v>1753</v>
      </c>
      <c r="G460" s="9" t="s">
        <v>1238</v>
      </c>
      <c r="H460" s="9" t="s">
        <v>1172</v>
      </c>
      <c r="I460" s="9" t="s">
        <v>2130</v>
      </c>
      <c r="J460" s="10">
        <v>39608</v>
      </c>
      <c r="K460" s="10">
        <v>44319</v>
      </c>
      <c r="L460" s="9" t="s">
        <v>1209</v>
      </c>
      <c r="M460" s="33" t="str">
        <f>IF(ISNA(VLOOKUP(D460,'[3]Table APOQUA files'!$B:$B,1,FALSE)),"NO","YES")</f>
        <v>YES</v>
      </c>
      <c r="N460" s="33" t="str">
        <f>IF(ISNA(VLOOKUP(D460,'Base PFR table'!K:K,1,FALSE)),"NO","YES")</f>
        <v>NO</v>
      </c>
      <c r="O460" s="35" t="s">
        <v>2858</v>
      </c>
      <c r="P460" s="35" t="s">
        <v>2858</v>
      </c>
    </row>
    <row r="461" spans="3:104" ht="15" customHeight="1" x14ac:dyDescent="0.25">
      <c r="C461" s="72" t="s">
        <v>2087</v>
      </c>
      <c r="D461" s="1" t="s">
        <v>265</v>
      </c>
      <c r="E461" s="15" t="s">
        <v>1016</v>
      </c>
      <c r="F461" s="20" t="s">
        <v>1754</v>
      </c>
      <c r="G461" s="9" t="s">
        <v>1306</v>
      </c>
      <c r="H461" s="9" t="s">
        <v>1178</v>
      </c>
      <c r="I461" s="9" t="s">
        <v>1186</v>
      </c>
      <c r="J461" s="10">
        <v>39608</v>
      </c>
      <c r="K461" s="10">
        <v>45552</v>
      </c>
      <c r="L461" s="10" t="s">
        <v>1487</v>
      </c>
      <c r="M461" s="33" t="str">
        <f>IF(ISNA(VLOOKUP(D461,'[3]Table APOQUA files'!$B:$B,1,FALSE)),"NO","YES")</f>
        <v>YES</v>
      </c>
      <c r="N461" s="33" t="str">
        <f>IF(ISNA(VLOOKUP(D461,'Base PFR table'!K:K,1,FALSE)),"NO","YES")</f>
        <v>NO</v>
      </c>
      <c r="O461" s="35" t="s">
        <v>2858</v>
      </c>
      <c r="P461" s="35" t="s">
        <v>2858</v>
      </c>
    </row>
    <row r="462" spans="3:104" s="70" customFormat="1" ht="15" customHeight="1" x14ac:dyDescent="0.25">
      <c r="C462" s="82" t="s">
        <v>2087</v>
      </c>
      <c r="D462" s="14" t="s">
        <v>387</v>
      </c>
      <c r="E462" s="15" t="s">
        <v>1017</v>
      </c>
      <c r="F462" s="22" t="s">
        <v>1755</v>
      </c>
      <c r="G462" s="16" t="s">
        <v>1306</v>
      </c>
      <c r="H462" s="16" t="s">
        <v>1178</v>
      </c>
      <c r="I462" s="16" t="s">
        <v>1186</v>
      </c>
      <c r="J462" s="17">
        <v>39608</v>
      </c>
      <c r="K462" s="17">
        <v>45632</v>
      </c>
      <c r="L462" s="16" t="s">
        <v>1209</v>
      </c>
      <c r="M462" s="55" t="str">
        <f>IF(ISNA(VLOOKUP(D462,'[3]Table APOQUA files'!$B:$B,1,FALSE)),"NO","YES")</f>
        <v>YES</v>
      </c>
      <c r="N462" s="55" t="str">
        <f>IF(ISNA(VLOOKUP(D462,'Base PFR table'!K:K,1,FALSE)),"NO","YES")</f>
        <v>NO</v>
      </c>
      <c r="O462" s="35" t="s">
        <v>2858</v>
      </c>
      <c r="P462" s="35" t="s">
        <v>2858</v>
      </c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  <c r="CV462" s="18"/>
      <c r="CW462" s="18"/>
      <c r="CX462" s="18"/>
      <c r="CY462" s="18"/>
      <c r="CZ462" s="18"/>
    </row>
    <row r="463" spans="3:104" ht="15" customHeight="1" x14ac:dyDescent="0.25">
      <c r="C463" s="3" t="s">
        <v>2087</v>
      </c>
      <c r="D463" s="60" t="s">
        <v>186</v>
      </c>
      <c r="E463" s="56" t="s">
        <v>1018</v>
      </c>
      <c r="F463" s="57" t="s">
        <v>1208</v>
      </c>
      <c r="G463" s="58" t="s">
        <v>1610</v>
      </c>
      <c r="H463" s="58" t="s">
        <v>539</v>
      </c>
      <c r="I463" s="58" t="s">
        <v>2130</v>
      </c>
      <c r="J463" s="59">
        <v>39608</v>
      </c>
      <c r="K463" s="59">
        <v>41225</v>
      </c>
      <c r="L463" s="58" t="s">
        <v>2645</v>
      </c>
      <c r="M463" s="33" t="str">
        <f>IF(ISNA(VLOOKUP(D463,'[3]Table APOQUA files'!$B:$B,1,FALSE)),"NO","YES")</f>
        <v>YES</v>
      </c>
      <c r="N463" s="33" t="str">
        <f>IF(ISNA(VLOOKUP(D463,'Base PFR table'!K:K,1,FALSE)),"NO","YES")</f>
        <v>NO</v>
      </c>
      <c r="O463" s="3" t="s">
        <v>2857</v>
      </c>
      <c r="P463" s="3" t="s">
        <v>2857</v>
      </c>
    </row>
    <row r="464" spans="3:104" ht="15" customHeight="1" x14ac:dyDescent="0.25">
      <c r="C464" s="72" t="s">
        <v>2087</v>
      </c>
      <c r="D464" s="1" t="s">
        <v>126</v>
      </c>
      <c r="E464" s="15" t="s">
        <v>1019</v>
      </c>
      <c r="F464" s="20" t="s">
        <v>1756</v>
      </c>
      <c r="G464" s="9" t="s">
        <v>1308</v>
      </c>
      <c r="H464" s="9" t="s">
        <v>1178</v>
      </c>
      <c r="I464" s="9" t="s">
        <v>1186</v>
      </c>
      <c r="J464" s="10">
        <v>39608</v>
      </c>
      <c r="K464" s="10">
        <v>45414</v>
      </c>
      <c r="L464" s="9" t="s">
        <v>1207</v>
      </c>
      <c r="M464" s="33" t="str">
        <f>IF(ISNA(VLOOKUP(D464,'[3]Table APOQUA files'!$B:$B,1,FALSE)),"NO","YES")</f>
        <v>YES</v>
      </c>
      <c r="N464" s="33" t="str">
        <f>IF(ISNA(VLOOKUP(D464,'Base PFR table'!K:K,1,FALSE)),"NO","YES")</f>
        <v>NO</v>
      </c>
      <c r="O464" s="35" t="s">
        <v>2858</v>
      </c>
      <c r="P464" s="35" t="s">
        <v>2858</v>
      </c>
    </row>
    <row r="465" spans="3:104" ht="15" customHeight="1" x14ac:dyDescent="0.25">
      <c r="C465" s="3" t="s">
        <v>2087</v>
      </c>
      <c r="D465" s="60" t="s">
        <v>378</v>
      </c>
      <c r="E465" s="56" t="s">
        <v>1020</v>
      </c>
      <c r="F465" s="57" t="s">
        <v>1757</v>
      </c>
      <c r="G465" s="58" t="s">
        <v>1285</v>
      </c>
      <c r="H465" s="58" t="s">
        <v>1176</v>
      </c>
      <c r="I465" s="58" t="s">
        <v>2130</v>
      </c>
      <c r="J465" s="59">
        <v>39608</v>
      </c>
      <c r="K465" s="59">
        <v>44725</v>
      </c>
      <c r="L465" s="58" t="s">
        <v>2645</v>
      </c>
      <c r="M465" s="33" t="str">
        <f>IF(ISNA(VLOOKUP(D465,'[3]Table APOQUA files'!$B:$B,1,FALSE)),"NO","YES")</f>
        <v>YES</v>
      </c>
      <c r="N465" s="33" t="str">
        <f>IF(ISNA(VLOOKUP(D465,'Base PFR table'!K:K,1,FALSE)),"NO","YES")</f>
        <v>NO</v>
      </c>
      <c r="O465" s="3" t="s">
        <v>2857</v>
      </c>
      <c r="P465" s="3" t="s">
        <v>2857</v>
      </c>
    </row>
    <row r="466" spans="3:104" ht="15" customHeight="1" x14ac:dyDescent="0.25">
      <c r="C466" s="69" t="s">
        <v>2087</v>
      </c>
      <c r="D466" s="1" t="s">
        <v>32</v>
      </c>
      <c r="E466" s="15" t="s">
        <v>1021</v>
      </c>
      <c r="F466" s="20" t="s">
        <v>1758</v>
      </c>
      <c r="G466" s="9" t="s">
        <v>1759</v>
      </c>
      <c r="H466" s="9" t="s">
        <v>1173</v>
      </c>
      <c r="I466" s="9" t="s">
        <v>1186</v>
      </c>
      <c r="J466" s="10">
        <v>39608</v>
      </c>
      <c r="K466" s="10">
        <v>45224</v>
      </c>
      <c r="L466" s="9" t="s">
        <v>1207</v>
      </c>
      <c r="M466" s="33" t="str">
        <f>IF(ISNA(VLOOKUP(D466,'[3]Table APOQUA files'!$B:$B,1,FALSE)),"NO","YES")</f>
        <v>YES</v>
      </c>
      <c r="N466" s="33" t="str">
        <f>IF(ISNA(VLOOKUP(D466,'Base PFR table'!K:K,1,FALSE)),"NO","YES")</f>
        <v>YES</v>
      </c>
      <c r="O466" s="35" t="s">
        <v>2858</v>
      </c>
      <c r="P466" s="35" t="s">
        <v>2858</v>
      </c>
    </row>
    <row r="467" spans="3:104" ht="15" customHeight="1" x14ac:dyDescent="0.25">
      <c r="C467" s="69" t="s">
        <v>2087</v>
      </c>
      <c r="D467" s="1" t="s">
        <v>195</v>
      </c>
      <c r="E467" s="15" t="s">
        <v>1022</v>
      </c>
      <c r="F467" s="20" t="s">
        <v>1760</v>
      </c>
      <c r="G467" s="9" t="s">
        <v>1264</v>
      </c>
      <c r="H467" s="9" t="s">
        <v>1173</v>
      </c>
      <c r="I467" s="9" t="s">
        <v>1186</v>
      </c>
      <c r="J467" s="10">
        <v>39608</v>
      </c>
      <c r="K467" s="10">
        <v>45412</v>
      </c>
      <c r="L467" s="9" t="s">
        <v>1207</v>
      </c>
      <c r="M467" s="33" t="str">
        <f>IF(ISNA(VLOOKUP(D467,'[3]Table APOQUA files'!$B:$B,1,FALSE)),"NO","YES")</f>
        <v>YES</v>
      </c>
      <c r="N467" s="33" t="str">
        <f>IF(ISNA(VLOOKUP(D467,'Base PFR table'!K:K,1,FALSE)),"NO","YES")</f>
        <v>YES</v>
      </c>
      <c r="O467" s="35" t="s">
        <v>2858</v>
      </c>
      <c r="P467" s="35" t="s">
        <v>2858</v>
      </c>
    </row>
    <row r="468" spans="3:104" ht="15" customHeight="1" x14ac:dyDescent="0.25">
      <c r="C468" s="72" t="s">
        <v>2087</v>
      </c>
      <c r="D468" s="1" t="s">
        <v>43</v>
      </c>
      <c r="E468" s="15" t="s">
        <v>1023</v>
      </c>
      <c r="F468" s="20" t="s">
        <v>1761</v>
      </c>
      <c r="G468" s="9" t="s">
        <v>1759</v>
      </c>
      <c r="H468" s="9" t="s">
        <v>1173</v>
      </c>
      <c r="I468" s="9" t="s">
        <v>1186</v>
      </c>
      <c r="J468" s="10">
        <v>39608</v>
      </c>
      <c r="K468" s="10">
        <v>45420</v>
      </c>
      <c r="L468" s="9" t="s">
        <v>1207</v>
      </c>
      <c r="M468" s="33" t="str">
        <f>IF(ISNA(VLOOKUP(D468,'[3]Table APOQUA files'!$B:$B,1,FALSE)),"NO","YES")</f>
        <v>YES</v>
      </c>
      <c r="N468" s="33" t="str">
        <f>IF(ISNA(VLOOKUP(D468,'Base PFR table'!K:K,1,FALSE)),"NO","YES")</f>
        <v>YES</v>
      </c>
      <c r="O468" s="35" t="s">
        <v>2858</v>
      </c>
      <c r="P468" s="35" t="s">
        <v>2858</v>
      </c>
    </row>
    <row r="469" spans="3:104" ht="15" customHeight="1" x14ac:dyDescent="0.25">
      <c r="C469" s="72" t="s">
        <v>2087</v>
      </c>
      <c r="D469" s="1" t="s">
        <v>212</v>
      </c>
      <c r="E469" s="15" t="s">
        <v>2804</v>
      </c>
      <c r="F469" s="20" t="s">
        <v>2805</v>
      </c>
      <c r="G469" s="9" t="s">
        <v>1726</v>
      </c>
      <c r="H469" s="9" t="s">
        <v>1173</v>
      </c>
      <c r="I469" s="9" t="s">
        <v>1186</v>
      </c>
      <c r="J469" s="10">
        <v>39608</v>
      </c>
      <c r="K469" s="10">
        <v>45775</v>
      </c>
      <c r="L469" s="9" t="s">
        <v>1487</v>
      </c>
      <c r="M469" s="33" t="str">
        <f>IF(ISNA(VLOOKUP(D469,'[3]Table APOQUA files'!$B:$B,1,FALSE)),"NO","YES")</f>
        <v>YES</v>
      </c>
      <c r="N469" s="33" t="str">
        <f>IF(ISNA(VLOOKUP(D469,'Base PFR table'!K:K,1,FALSE)),"NO","YES")</f>
        <v>NO</v>
      </c>
      <c r="O469" s="35" t="s">
        <v>2859</v>
      </c>
      <c r="P469" s="35" t="s">
        <v>2803</v>
      </c>
      <c r="Q469" s="3" t="s">
        <v>2867</v>
      </c>
      <c r="R469" s="3" t="s">
        <v>2872</v>
      </c>
    </row>
    <row r="470" spans="3:104" s="70" customFormat="1" ht="15" customHeight="1" x14ac:dyDescent="0.25">
      <c r="C470" s="70" t="s">
        <v>2087</v>
      </c>
      <c r="D470" s="14" t="s">
        <v>262</v>
      </c>
      <c r="E470" s="15" t="s">
        <v>1024</v>
      </c>
      <c r="F470" s="22" t="s">
        <v>1763</v>
      </c>
      <c r="G470" s="16" t="s">
        <v>1543</v>
      </c>
      <c r="H470" s="16" t="s">
        <v>1176</v>
      </c>
      <c r="I470" s="16" t="s">
        <v>2130</v>
      </c>
      <c r="J470" s="17">
        <v>39608</v>
      </c>
      <c r="K470" s="17">
        <v>45222</v>
      </c>
      <c r="L470" s="16" t="s">
        <v>2843</v>
      </c>
      <c r="M470" s="55" t="str">
        <f>IF(ISNA(VLOOKUP(D470,'[3]Table APOQUA files'!$B:$B,1,FALSE)),"NO","YES")</f>
        <v>YES</v>
      </c>
      <c r="N470" s="55" t="str">
        <f>IF(ISNA(VLOOKUP(D470,'Base PFR table'!K:K,1,FALSE)),"NO","YES")</f>
        <v>NO</v>
      </c>
      <c r="O470" s="35" t="s">
        <v>2858</v>
      </c>
      <c r="P470" s="35" t="s">
        <v>2858</v>
      </c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  <c r="CV470" s="18"/>
      <c r="CW470" s="18"/>
      <c r="CX470" s="18"/>
      <c r="CY470" s="18"/>
      <c r="CZ470" s="18"/>
    </row>
    <row r="471" spans="3:104" ht="15" customHeight="1" x14ac:dyDescent="0.25">
      <c r="C471" s="69" t="s">
        <v>2087</v>
      </c>
      <c r="D471" s="1" t="s">
        <v>31</v>
      </c>
      <c r="E471" s="15" t="s">
        <v>1025</v>
      </c>
      <c r="F471" s="20" t="s">
        <v>1764</v>
      </c>
      <c r="G471" s="9" t="s">
        <v>1759</v>
      </c>
      <c r="H471" s="9" t="s">
        <v>1173</v>
      </c>
      <c r="I471" s="9" t="s">
        <v>1186</v>
      </c>
      <c r="J471" s="10">
        <v>39608</v>
      </c>
      <c r="K471" s="10">
        <v>45408</v>
      </c>
      <c r="L471" s="9" t="s">
        <v>1487</v>
      </c>
      <c r="M471" s="33" t="str">
        <f>IF(ISNA(VLOOKUP(D471,'[3]Table APOQUA files'!$B:$B,1,FALSE)),"NO","YES")</f>
        <v>YES</v>
      </c>
      <c r="N471" s="33" t="str">
        <f>IF(ISNA(VLOOKUP(D471,'Base PFR table'!K:K,1,FALSE)),"NO","YES")</f>
        <v>YES</v>
      </c>
      <c r="O471" s="35" t="s">
        <v>2858</v>
      </c>
      <c r="P471" s="35" t="s">
        <v>2858</v>
      </c>
    </row>
    <row r="472" spans="3:104" ht="15" customHeight="1" x14ac:dyDescent="0.25">
      <c r="C472" s="72" t="s">
        <v>2087</v>
      </c>
      <c r="D472" s="1" t="s">
        <v>454</v>
      </c>
      <c r="E472" s="15" t="s">
        <v>825</v>
      </c>
      <c r="F472" s="20" t="s">
        <v>1524</v>
      </c>
      <c r="G472" s="9" t="s">
        <v>1525</v>
      </c>
      <c r="H472" s="9" t="s">
        <v>1176</v>
      </c>
      <c r="I472" s="9" t="s">
        <v>2122</v>
      </c>
      <c r="J472" s="10">
        <v>39608</v>
      </c>
      <c r="K472" s="10">
        <v>45638</v>
      </c>
      <c r="L472" s="9" t="s">
        <v>1209</v>
      </c>
      <c r="M472" s="33" t="str">
        <f>IF(ISNA(VLOOKUP(D472,'[3]Table APOQUA files'!$B:$B,1,FALSE)),"NO","YES")</f>
        <v>YES</v>
      </c>
      <c r="N472" s="33" t="str">
        <f>IF(ISNA(VLOOKUP(D472,'Base PFR table'!K:K,1,FALSE)),"NO","YES")</f>
        <v>YES</v>
      </c>
      <c r="O472" s="35" t="s">
        <v>2858</v>
      </c>
      <c r="P472" s="35" t="s">
        <v>2858</v>
      </c>
    </row>
    <row r="473" spans="3:104" ht="15" customHeight="1" x14ac:dyDescent="0.25">
      <c r="C473" s="72" t="s">
        <v>2087</v>
      </c>
      <c r="D473" s="1" t="s">
        <v>367</v>
      </c>
      <c r="E473" s="15" t="s">
        <v>1026</v>
      </c>
      <c r="F473" s="20" t="s">
        <v>1765</v>
      </c>
      <c r="G473" s="9" t="s">
        <v>1661</v>
      </c>
      <c r="H473" s="9" t="s">
        <v>1180</v>
      </c>
      <c r="I473" s="9" t="s">
        <v>1186</v>
      </c>
      <c r="J473" s="10">
        <v>39398</v>
      </c>
      <c r="K473" s="10">
        <v>39633</v>
      </c>
      <c r="L473" s="9" t="s">
        <v>2843</v>
      </c>
      <c r="M473" s="33" t="str">
        <f>IF(ISNA(VLOOKUP(D473,'[3]Table APOQUA files'!$B:$B,1,FALSE)),"NO","YES")</f>
        <v>YES</v>
      </c>
      <c r="N473" s="33" t="str">
        <f>IF(ISNA(VLOOKUP(D473,'Base PFR table'!K:K,1,FALSE)),"NO","YES")</f>
        <v>NO</v>
      </c>
      <c r="O473" s="35" t="s">
        <v>2858</v>
      </c>
      <c r="P473" s="35" t="s">
        <v>2858</v>
      </c>
    </row>
    <row r="474" spans="3:104" s="70" customFormat="1" ht="15" customHeight="1" x14ac:dyDescent="0.25">
      <c r="C474" s="70" t="s">
        <v>2087</v>
      </c>
      <c r="D474" s="14" t="s">
        <v>239</v>
      </c>
      <c r="E474" s="15" t="s">
        <v>1027</v>
      </c>
      <c r="F474" s="22" t="s">
        <v>2806</v>
      </c>
      <c r="G474" s="16" t="s">
        <v>1767</v>
      </c>
      <c r="H474" s="16" t="s">
        <v>1177</v>
      </c>
      <c r="I474" s="16" t="s">
        <v>2127</v>
      </c>
      <c r="J474" s="17">
        <v>39608</v>
      </c>
      <c r="K474" s="17">
        <v>45222</v>
      </c>
      <c r="L474" s="16" t="s">
        <v>2843</v>
      </c>
      <c r="M474" s="55" t="str">
        <f>IF(ISNA(VLOOKUP(D474,'[3]Table APOQUA files'!$B:$B,1,FALSE)),"NO","YES")</f>
        <v>YES</v>
      </c>
      <c r="N474" s="55" t="str">
        <f>IF(ISNA(VLOOKUP(D474,'Base PFR table'!K:K,1,FALSE)),"NO","YES")</f>
        <v>NO</v>
      </c>
      <c r="O474" s="35" t="s">
        <v>2858</v>
      </c>
      <c r="P474" s="35" t="s">
        <v>2858</v>
      </c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</row>
    <row r="475" spans="3:104" ht="15" customHeight="1" x14ac:dyDescent="0.25">
      <c r="C475" s="3" t="s">
        <v>2087</v>
      </c>
      <c r="D475" s="60" t="s">
        <v>427</v>
      </c>
      <c r="E475" s="56" t="s">
        <v>1028</v>
      </c>
      <c r="F475" s="57" t="s">
        <v>1768</v>
      </c>
      <c r="G475" s="58" t="s">
        <v>1238</v>
      </c>
      <c r="H475" s="58" t="s">
        <v>1172</v>
      </c>
      <c r="I475" s="58" t="s">
        <v>2130</v>
      </c>
      <c r="J475" s="59">
        <v>39608</v>
      </c>
      <c r="K475" s="59">
        <v>41662</v>
      </c>
      <c r="L475" s="58" t="s">
        <v>2645</v>
      </c>
      <c r="M475" s="33" t="str">
        <f>IF(ISNA(VLOOKUP(D475,'[3]Table APOQUA files'!$B:$B,1,FALSE)),"NO","YES")</f>
        <v>YES</v>
      </c>
      <c r="N475" s="33" t="str">
        <f>IF(ISNA(VLOOKUP(D475,'Base PFR table'!K:K,1,FALSE)),"NO","YES")</f>
        <v>NO</v>
      </c>
      <c r="O475" s="3" t="s">
        <v>2857</v>
      </c>
      <c r="P475" s="3" t="s">
        <v>2857</v>
      </c>
    </row>
    <row r="476" spans="3:104" ht="15" customHeight="1" x14ac:dyDescent="0.25">
      <c r="C476" s="3" t="s">
        <v>2087</v>
      </c>
      <c r="D476" s="60" t="s">
        <v>108</v>
      </c>
      <c r="E476" s="56" t="s">
        <v>1029</v>
      </c>
      <c r="F476" s="57" t="s">
        <v>1208</v>
      </c>
      <c r="G476" s="58" t="s">
        <v>1769</v>
      </c>
      <c r="H476" s="58" t="s">
        <v>1175</v>
      </c>
      <c r="I476" s="58" t="s">
        <v>2130</v>
      </c>
      <c r="J476" s="59">
        <v>39608</v>
      </c>
      <c r="K476" s="59">
        <v>43188</v>
      </c>
      <c r="L476" s="58" t="s">
        <v>2645</v>
      </c>
      <c r="M476" s="33" t="str">
        <f>IF(ISNA(VLOOKUP(D476,'[3]Table APOQUA files'!$B:$B,1,FALSE)),"NO","YES")</f>
        <v>YES</v>
      </c>
      <c r="N476" s="33" t="str">
        <f>IF(ISNA(VLOOKUP(D476,'Base PFR table'!K:K,1,FALSE)),"NO","YES")</f>
        <v>NO</v>
      </c>
      <c r="O476" s="3" t="s">
        <v>2857</v>
      </c>
      <c r="P476" s="3" t="s">
        <v>2857</v>
      </c>
    </row>
    <row r="477" spans="3:104" s="70" customFormat="1" ht="15" customHeight="1" x14ac:dyDescent="0.25">
      <c r="C477" s="70" t="s">
        <v>2087</v>
      </c>
      <c r="D477" s="14" t="s">
        <v>92</v>
      </c>
      <c r="E477" s="15" t="s">
        <v>1030</v>
      </c>
      <c r="F477" s="22" t="s">
        <v>1770</v>
      </c>
      <c r="G477" s="16" t="s">
        <v>1681</v>
      </c>
      <c r="H477" s="16" t="s">
        <v>1172</v>
      </c>
      <c r="I477" s="16" t="s">
        <v>2130</v>
      </c>
      <c r="J477" s="17">
        <v>39608</v>
      </c>
      <c r="K477" s="17">
        <v>45222</v>
      </c>
      <c r="L477" s="16" t="s">
        <v>2843</v>
      </c>
      <c r="M477" s="55" t="str">
        <f>IF(ISNA(VLOOKUP(D477,'[3]Table APOQUA files'!$B:$B,1,FALSE)),"NO","YES")</f>
        <v>YES</v>
      </c>
      <c r="N477" s="55" t="str">
        <f>IF(ISNA(VLOOKUP(D477,'Base PFR table'!K:K,1,FALSE)),"NO","YES")</f>
        <v>NO</v>
      </c>
      <c r="O477" s="35" t="s">
        <v>2858</v>
      </c>
      <c r="P477" s="35" t="s">
        <v>2858</v>
      </c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  <c r="CV477" s="18"/>
      <c r="CW477" s="18"/>
      <c r="CX477" s="18"/>
      <c r="CY477" s="18"/>
      <c r="CZ477" s="18"/>
    </row>
    <row r="478" spans="3:104" ht="15" customHeight="1" x14ac:dyDescent="0.25">
      <c r="C478" s="3" t="s">
        <v>2087</v>
      </c>
      <c r="D478" s="1" t="s">
        <v>55</v>
      </c>
      <c r="E478" s="15" t="s">
        <v>1031</v>
      </c>
      <c r="F478" s="20" t="s">
        <v>1771</v>
      </c>
      <c r="G478" s="9" t="s">
        <v>1300</v>
      </c>
      <c r="H478" s="9" t="s">
        <v>1178</v>
      </c>
      <c r="I478" s="9" t="s">
        <v>2133</v>
      </c>
      <c r="J478" s="10">
        <v>39608</v>
      </c>
      <c r="K478" s="10">
        <v>40785</v>
      </c>
      <c r="L478" s="9" t="s">
        <v>2843</v>
      </c>
      <c r="M478" s="33" t="str">
        <f>IF(ISNA(VLOOKUP(D478,'[3]Table APOQUA files'!$B:$B,1,FALSE)),"NO","YES")</f>
        <v>YES</v>
      </c>
      <c r="N478" s="33" t="str">
        <f>IF(ISNA(VLOOKUP(D478,'Base PFR table'!K:K,1,FALSE)),"NO","YES")</f>
        <v>NO</v>
      </c>
      <c r="O478" s="35" t="s">
        <v>2858</v>
      </c>
      <c r="P478" s="35" t="s">
        <v>2858</v>
      </c>
    </row>
    <row r="479" spans="3:104" ht="15" customHeight="1" x14ac:dyDescent="0.25">
      <c r="C479" s="69" t="s">
        <v>2087</v>
      </c>
      <c r="D479" s="1" t="s">
        <v>297</v>
      </c>
      <c r="E479" s="15" t="s">
        <v>1032</v>
      </c>
      <c r="F479" s="20" t="s">
        <v>1772</v>
      </c>
      <c r="G479" s="9" t="s">
        <v>1773</v>
      </c>
      <c r="H479" s="9" t="s">
        <v>599</v>
      </c>
      <c r="I479" s="9" t="s">
        <v>2122</v>
      </c>
      <c r="J479" s="10">
        <v>39608</v>
      </c>
      <c r="K479" s="10">
        <v>45409</v>
      </c>
      <c r="L479" s="9" t="s">
        <v>1207</v>
      </c>
      <c r="M479" s="33" t="str">
        <f>IF(ISNA(VLOOKUP(D479,'[3]Table APOQUA files'!$B:$B,1,FALSE)),"NO","YES")</f>
        <v>YES</v>
      </c>
      <c r="N479" s="33" t="str">
        <f>IF(ISNA(VLOOKUP(D479,'Base PFR table'!K:K,1,FALSE)),"NO","YES")</f>
        <v>NO</v>
      </c>
      <c r="O479" s="35" t="s">
        <v>2858</v>
      </c>
      <c r="P479" s="35" t="s">
        <v>2858</v>
      </c>
    </row>
    <row r="480" spans="3:104" ht="15" customHeight="1" x14ac:dyDescent="0.25">
      <c r="C480" s="3" t="s">
        <v>2087</v>
      </c>
      <c r="D480" s="60" t="s">
        <v>120</v>
      </c>
      <c r="E480" s="56" t="s">
        <v>1033</v>
      </c>
      <c r="F480" s="57" t="s">
        <v>1208</v>
      </c>
      <c r="G480" s="58" t="s">
        <v>1244</v>
      </c>
      <c r="H480" s="58" t="s">
        <v>1175</v>
      </c>
      <c r="I480" s="58" t="s">
        <v>1186</v>
      </c>
      <c r="J480" s="59">
        <v>39608</v>
      </c>
      <c r="K480" s="59">
        <v>41457</v>
      </c>
      <c r="L480" s="58" t="s">
        <v>2645</v>
      </c>
      <c r="M480" s="33" t="str">
        <f>IF(ISNA(VLOOKUP(D480,'[3]Table APOQUA files'!$B:$B,1,FALSE)),"NO","YES")</f>
        <v>YES</v>
      </c>
      <c r="N480" s="33" t="str">
        <f>IF(ISNA(VLOOKUP(D480,'Base PFR table'!K:K,1,FALSE)),"NO","YES")</f>
        <v>NO</v>
      </c>
      <c r="O480" s="3" t="s">
        <v>2857</v>
      </c>
      <c r="P480" s="3" t="s">
        <v>2857</v>
      </c>
    </row>
    <row r="481" spans="3:16" ht="15" customHeight="1" x14ac:dyDescent="0.25">
      <c r="C481" s="3" t="s">
        <v>2087</v>
      </c>
      <c r="D481" s="60" t="s">
        <v>121</v>
      </c>
      <c r="E481" s="56" t="s">
        <v>1034</v>
      </c>
      <c r="F481" s="57" t="s">
        <v>1208</v>
      </c>
      <c r="G481" s="58" t="s">
        <v>1244</v>
      </c>
      <c r="H481" s="58" t="s">
        <v>1175</v>
      </c>
      <c r="I481" s="58" t="s">
        <v>1186</v>
      </c>
      <c r="J481" s="59">
        <v>39608</v>
      </c>
      <c r="K481" s="59">
        <v>41457</v>
      </c>
      <c r="L481" s="58" t="s">
        <v>2645</v>
      </c>
      <c r="M481" s="33" t="str">
        <f>IF(ISNA(VLOOKUP(D481,'[3]Table APOQUA files'!$B:$B,1,FALSE)),"NO","YES")</f>
        <v>YES</v>
      </c>
      <c r="N481" s="33" t="str">
        <f>IF(ISNA(VLOOKUP(D481,'Base PFR table'!K:K,1,FALSE)),"NO","YES")</f>
        <v>NO</v>
      </c>
      <c r="O481" s="3" t="s">
        <v>2857</v>
      </c>
      <c r="P481" s="3" t="s">
        <v>2857</v>
      </c>
    </row>
    <row r="482" spans="3:16" ht="15" customHeight="1" x14ac:dyDescent="0.25">
      <c r="C482" s="69" t="s">
        <v>2087</v>
      </c>
      <c r="D482" s="1" t="s">
        <v>374</v>
      </c>
      <c r="E482" s="15" t="s">
        <v>2807</v>
      </c>
      <c r="F482" s="20" t="s">
        <v>2808</v>
      </c>
      <c r="G482" s="9" t="s">
        <v>1775</v>
      </c>
      <c r="H482" s="9" t="s">
        <v>1178</v>
      </c>
      <c r="I482" s="9" t="s">
        <v>1186</v>
      </c>
      <c r="J482" s="10">
        <v>39608</v>
      </c>
      <c r="K482" s="10">
        <v>45399</v>
      </c>
      <c r="L482" s="9" t="s">
        <v>1207</v>
      </c>
      <c r="M482" s="33" t="str">
        <f>IF(ISNA(VLOOKUP(D482,'[3]Table APOQUA files'!$B:$B,1,FALSE)),"NO","YES")</f>
        <v>YES</v>
      </c>
      <c r="N482" s="33" t="str">
        <f>IF(ISNA(VLOOKUP(D482,'Base PFR table'!K:K,1,FALSE)),"NO","YES")</f>
        <v>YES</v>
      </c>
      <c r="O482" s="35" t="s">
        <v>2858</v>
      </c>
      <c r="P482" s="35" t="s">
        <v>2858</v>
      </c>
    </row>
    <row r="483" spans="3:16" ht="15" customHeight="1" x14ac:dyDescent="0.25">
      <c r="C483" s="72" t="s">
        <v>2087</v>
      </c>
      <c r="D483" s="1" t="s">
        <v>373</v>
      </c>
      <c r="E483" s="15" t="s">
        <v>1035</v>
      </c>
      <c r="F483" s="20" t="s">
        <v>1776</v>
      </c>
      <c r="G483" s="9" t="s">
        <v>1777</v>
      </c>
      <c r="H483" s="9" t="s">
        <v>1178</v>
      </c>
      <c r="I483" s="9" t="s">
        <v>1186</v>
      </c>
      <c r="J483" s="10">
        <v>44231</v>
      </c>
      <c r="K483" s="10">
        <v>45128</v>
      </c>
      <c r="L483" s="9" t="s">
        <v>1207</v>
      </c>
      <c r="M483" s="33" t="str">
        <f>IF(ISNA(VLOOKUP(D483,'[3]Table APOQUA files'!$B:$B,1,FALSE)),"NO","YES")</f>
        <v>YES</v>
      </c>
      <c r="N483" s="33" t="str">
        <f>IF(ISNA(VLOOKUP(D483,'Base PFR table'!K:K,1,FALSE)),"NO","YES")</f>
        <v>NO</v>
      </c>
      <c r="O483" s="35" t="s">
        <v>2858</v>
      </c>
      <c r="P483" s="35" t="s">
        <v>2858</v>
      </c>
    </row>
    <row r="484" spans="3:16" ht="15" customHeight="1" x14ac:dyDescent="0.25">
      <c r="C484" s="3" t="s">
        <v>2087</v>
      </c>
      <c r="D484" s="60" t="s">
        <v>139</v>
      </c>
      <c r="E484" s="56" t="s">
        <v>1036</v>
      </c>
      <c r="F484" s="57" t="s">
        <v>1778</v>
      </c>
      <c r="G484" s="58" t="s">
        <v>1661</v>
      </c>
      <c r="H484" s="58" t="s">
        <v>1180</v>
      </c>
      <c r="I484" s="58" t="s">
        <v>1186</v>
      </c>
      <c r="J484" s="59">
        <v>39608</v>
      </c>
      <c r="K484" s="59">
        <v>43391</v>
      </c>
      <c r="L484" s="58" t="s">
        <v>2645</v>
      </c>
      <c r="M484" s="33" t="str">
        <f>IF(ISNA(VLOOKUP(D484,'[3]Table APOQUA files'!$B:$B,1,FALSE)),"NO","YES")</f>
        <v>YES</v>
      </c>
      <c r="N484" s="33" t="str">
        <f>IF(ISNA(VLOOKUP(D484,'Base PFR table'!K:K,1,FALSE)),"NO","YES")</f>
        <v>NO</v>
      </c>
      <c r="O484" s="3" t="s">
        <v>2857</v>
      </c>
      <c r="P484" s="3" t="s">
        <v>2857</v>
      </c>
    </row>
    <row r="485" spans="3:16" ht="15" customHeight="1" x14ac:dyDescent="0.25">
      <c r="C485" s="72" t="s">
        <v>2087</v>
      </c>
      <c r="D485" s="1" t="s">
        <v>399</v>
      </c>
      <c r="E485" s="15" t="s">
        <v>1037</v>
      </c>
      <c r="F485" s="20" t="s">
        <v>1779</v>
      </c>
      <c r="G485" s="9" t="s">
        <v>2809</v>
      </c>
      <c r="H485" s="9" t="s">
        <v>1184</v>
      </c>
      <c r="I485" s="9" t="s">
        <v>2130</v>
      </c>
      <c r="J485" s="10">
        <v>39608</v>
      </c>
      <c r="K485" s="10">
        <v>45202</v>
      </c>
      <c r="L485" s="9" t="s">
        <v>1209</v>
      </c>
      <c r="M485" s="33" t="str">
        <f>IF(ISNA(VLOOKUP(D485,'[3]Table APOQUA files'!$B:$B,1,FALSE)),"NO","YES")</f>
        <v>YES</v>
      </c>
      <c r="N485" s="33" t="str">
        <f>IF(ISNA(VLOOKUP(D485,'Base PFR table'!K:K,1,FALSE)),"NO","YES")</f>
        <v>NO</v>
      </c>
      <c r="O485" s="35" t="s">
        <v>2858</v>
      </c>
      <c r="P485" s="35" t="s">
        <v>2858</v>
      </c>
    </row>
    <row r="486" spans="3:16" ht="15" customHeight="1" x14ac:dyDescent="0.25">
      <c r="C486" s="3" t="s">
        <v>2087</v>
      </c>
      <c r="D486" s="60" t="s">
        <v>166</v>
      </c>
      <c r="E486" s="56" t="s">
        <v>1038</v>
      </c>
      <c r="F486" s="57" t="s">
        <v>1780</v>
      </c>
      <c r="G486" s="58" t="s">
        <v>1244</v>
      </c>
      <c r="H486" s="58" t="s">
        <v>1175</v>
      </c>
      <c r="I486" s="58" t="s">
        <v>2133</v>
      </c>
      <c r="J486" s="59">
        <v>39608</v>
      </c>
      <c r="K486" s="59">
        <v>43164</v>
      </c>
      <c r="L486" s="58" t="s">
        <v>2645</v>
      </c>
      <c r="M486" s="33" t="str">
        <f>IF(ISNA(VLOOKUP(D486,'[3]Table APOQUA files'!$B:$B,1,FALSE)),"NO","YES")</f>
        <v>YES</v>
      </c>
      <c r="N486" s="33" t="str">
        <f>IF(ISNA(VLOOKUP(D486,'Base PFR table'!K:K,1,FALSE)),"NO","YES")</f>
        <v>NO</v>
      </c>
      <c r="O486" s="3" t="s">
        <v>2857</v>
      </c>
      <c r="P486" s="3" t="s">
        <v>2857</v>
      </c>
    </row>
    <row r="487" spans="3:16" ht="15" customHeight="1" x14ac:dyDescent="0.25">
      <c r="C487" s="3" t="s">
        <v>2087</v>
      </c>
      <c r="D487" s="60" t="s">
        <v>344</v>
      </c>
      <c r="E487" s="56" t="s">
        <v>1039</v>
      </c>
      <c r="F487" s="57" t="s">
        <v>1781</v>
      </c>
      <c r="G487" s="58" t="s">
        <v>1206</v>
      </c>
      <c r="H487" s="58" t="s">
        <v>593</v>
      </c>
      <c r="I487" s="58" t="s">
        <v>2126</v>
      </c>
      <c r="J487" s="59">
        <v>39608</v>
      </c>
      <c r="K487" s="59">
        <v>42885</v>
      </c>
      <c r="L487" s="58" t="s">
        <v>2645</v>
      </c>
      <c r="M487" s="33" t="str">
        <f>IF(ISNA(VLOOKUP(D487,'[3]Table APOQUA files'!$B:$B,1,FALSE)),"NO","YES")</f>
        <v>YES</v>
      </c>
      <c r="N487" s="33" t="str">
        <f>IF(ISNA(VLOOKUP(D487,'Base PFR table'!K:K,1,FALSE)),"NO","YES")</f>
        <v>NO</v>
      </c>
      <c r="O487" s="3" t="s">
        <v>2857</v>
      </c>
      <c r="P487" s="3" t="s">
        <v>2857</v>
      </c>
    </row>
    <row r="488" spans="3:16" ht="15" customHeight="1" x14ac:dyDescent="0.25">
      <c r="C488" s="69" t="s">
        <v>2087</v>
      </c>
      <c r="D488" s="1" t="s">
        <v>220</v>
      </c>
      <c r="E488" s="15" t="s">
        <v>1040</v>
      </c>
      <c r="F488" s="20" t="s">
        <v>1782</v>
      </c>
      <c r="G488" s="9" t="s">
        <v>1783</v>
      </c>
      <c r="H488" s="9" t="s">
        <v>1176</v>
      </c>
      <c r="I488" s="9" t="s">
        <v>2131</v>
      </c>
      <c r="J488" s="10">
        <v>39608</v>
      </c>
      <c r="K488" s="10">
        <v>45488</v>
      </c>
      <c r="L488" s="9" t="s">
        <v>1487</v>
      </c>
      <c r="M488" s="33" t="str">
        <f>IF(ISNA(VLOOKUP(D488,'[3]Table APOQUA files'!$B:$B,1,FALSE)),"NO","YES")</f>
        <v>YES</v>
      </c>
      <c r="N488" s="33" t="str">
        <f>IF(ISNA(VLOOKUP(D488,'Base PFR table'!K:K,1,FALSE)),"NO","YES")</f>
        <v>NO</v>
      </c>
      <c r="O488" s="35" t="s">
        <v>2858</v>
      </c>
      <c r="P488" s="35" t="s">
        <v>2858</v>
      </c>
    </row>
    <row r="489" spans="3:16" ht="15" customHeight="1" x14ac:dyDescent="0.25">
      <c r="C489" s="69" t="s">
        <v>2087</v>
      </c>
      <c r="D489" s="1" t="s">
        <v>197</v>
      </c>
      <c r="E489" s="15" t="s">
        <v>1041</v>
      </c>
      <c r="F489" s="20" t="s">
        <v>1784</v>
      </c>
      <c r="G489" s="9" t="s">
        <v>1785</v>
      </c>
      <c r="H489" s="9" t="s">
        <v>593</v>
      </c>
      <c r="I489" s="9" t="s">
        <v>2126</v>
      </c>
      <c r="J489" s="10">
        <v>39608</v>
      </c>
      <c r="K489" s="10">
        <v>44917</v>
      </c>
      <c r="L489" s="9" t="s">
        <v>2843</v>
      </c>
      <c r="M489" s="33" t="str">
        <f>IF(ISNA(VLOOKUP(D489,'[3]Table APOQUA files'!$B:$B,1,FALSE)),"NO","YES")</f>
        <v>YES</v>
      </c>
      <c r="N489" s="33" t="str">
        <f>IF(ISNA(VLOOKUP(D489,'Base PFR table'!K:K,1,FALSE)),"NO","YES")</f>
        <v>NO</v>
      </c>
      <c r="O489" s="35" t="s">
        <v>2858</v>
      </c>
      <c r="P489" s="35" t="s">
        <v>2858</v>
      </c>
    </row>
    <row r="490" spans="3:16" ht="15" customHeight="1" x14ac:dyDescent="0.25">
      <c r="C490" s="3" t="s">
        <v>2087</v>
      </c>
      <c r="D490" s="60" t="s">
        <v>271</v>
      </c>
      <c r="E490" s="56" t="s">
        <v>1042</v>
      </c>
      <c r="F490" s="57" t="s">
        <v>1208</v>
      </c>
      <c r="G490" s="58" t="s">
        <v>1411</v>
      </c>
      <c r="H490" s="58" t="s">
        <v>608</v>
      </c>
      <c r="I490" s="58" t="s">
        <v>2126</v>
      </c>
      <c r="J490" s="59">
        <v>39608</v>
      </c>
      <c r="K490" s="59">
        <v>40218</v>
      </c>
      <c r="L490" s="58" t="s">
        <v>2645</v>
      </c>
      <c r="M490" s="33" t="str">
        <f>IF(ISNA(VLOOKUP(D490,'[3]Table APOQUA files'!$B:$B,1,FALSE)),"NO","YES")</f>
        <v>YES</v>
      </c>
      <c r="N490" s="33" t="str">
        <f>IF(ISNA(VLOOKUP(D490,'Base PFR table'!K:K,1,FALSE)),"NO","YES")</f>
        <v>NO</v>
      </c>
      <c r="O490" s="3" t="s">
        <v>2857</v>
      </c>
      <c r="P490" s="3" t="s">
        <v>2857</v>
      </c>
    </row>
    <row r="491" spans="3:16" ht="15" customHeight="1" x14ac:dyDescent="0.25">
      <c r="C491" s="69" t="s">
        <v>2087</v>
      </c>
      <c r="D491" s="1" t="s">
        <v>308</v>
      </c>
      <c r="E491" s="15" t="s">
        <v>1043</v>
      </c>
      <c r="F491" s="20" t="s">
        <v>1786</v>
      </c>
      <c r="G491" s="9" t="s">
        <v>1283</v>
      </c>
      <c r="H491" s="9" t="s">
        <v>608</v>
      </c>
      <c r="I491" s="9" t="s">
        <v>2123</v>
      </c>
      <c r="J491" s="10">
        <v>39608</v>
      </c>
      <c r="K491" s="10">
        <v>41012</v>
      </c>
      <c r="L491" s="9" t="s">
        <v>2843</v>
      </c>
      <c r="M491" s="33" t="str">
        <f>IF(ISNA(VLOOKUP(D491,'[3]Table APOQUA files'!$B:$B,1,FALSE)),"NO","YES")</f>
        <v>YES</v>
      </c>
      <c r="N491" s="33" t="str">
        <f>IF(ISNA(VLOOKUP(D491,'Base PFR table'!K:K,1,FALSE)),"NO","YES")</f>
        <v>NO</v>
      </c>
      <c r="O491" s="35" t="s">
        <v>2858</v>
      </c>
      <c r="P491" s="35" t="s">
        <v>2858</v>
      </c>
    </row>
    <row r="492" spans="3:16" ht="15" customHeight="1" x14ac:dyDescent="0.25">
      <c r="C492" s="3" t="s">
        <v>2087</v>
      </c>
      <c r="D492" s="60" t="s">
        <v>148</v>
      </c>
      <c r="E492" s="56" t="s">
        <v>1044</v>
      </c>
      <c r="F492" s="57" t="s">
        <v>1208</v>
      </c>
      <c r="G492" s="58" t="s">
        <v>1208</v>
      </c>
      <c r="H492" s="58" t="s">
        <v>539</v>
      </c>
      <c r="I492" s="58">
        <v>0</v>
      </c>
      <c r="J492" s="59">
        <v>39658</v>
      </c>
      <c r="K492" s="59">
        <v>40218</v>
      </c>
      <c r="L492" s="58" t="s">
        <v>2645</v>
      </c>
      <c r="M492" s="33" t="str">
        <f>IF(ISNA(VLOOKUP(D492,'[3]Table APOQUA files'!$B:$B,1,FALSE)),"NO","YES")</f>
        <v>YES</v>
      </c>
      <c r="N492" s="33" t="str">
        <f>IF(ISNA(VLOOKUP(D492,'Base PFR table'!K:K,1,FALSE)),"NO","YES")</f>
        <v>NO</v>
      </c>
      <c r="O492" s="3" t="s">
        <v>2857</v>
      </c>
      <c r="P492" s="3" t="s">
        <v>2857</v>
      </c>
    </row>
    <row r="493" spans="3:16" ht="15" customHeight="1" x14ac:dyDescent="0.25">
      <c r="C493" s="3" t="s">
        <v>2087</v>
      </c>
      <c r="D493" s="60" t="s">
        <v>391</v>
      </c>
      <c r="E493" s="56" t="s">
        <v>1045</v>
      </c>
      <c r="F493" s="57" t="s">
        <v>1208</v>
      </c>
      <c r="G493" s="58" t="s">
        <v>1285</v>
      </c>
      <c r="H493" s="58" t="s">
        <v>1176</v>
      </c>
      <c r="I493" s="58">
        <v>0</v>
      </c>
      <c r="J493" s="59">
        <v>39658</v>
      </c>
      <c r="K493" s="59">
        <v>44725</v>
      </c>
      <c r="L493" s="58" t="s">
        <v>2645</v>
      </c>
      <c r="M493" s="33" t="str">
        <f>IF(ISNA(VLOOKUP(D493,'[3]Table APOQUA files'!$B:$B,1,FALSE)),"NO","YES")</f>
        <v>YES</v>
      </c>
      <c r="N493" s="33" t="str">
        <f>IF(ISNA(VLOOKUP(D493,'Base PFR table'!K:K,1,FALSE)),"NO","YES")</f>
        <v>NO</v>
      </c>
      <c r="O493" s="3" t="s">
        <v>2857</v>
      </c>
      <c r="P493" s="3" t="s">
        <v>2857</v>
      </c>
    </row>
    <row r="494" spans="3:16" ht="15" customHeight="1" x14ac:dyDescent="0.25">
      <c r="C494" s="72" t="s">
        <v>2087</v>
      </c>
      <c r="D494" s="1" t="s">
        <v>83</v>
      </c>
      <c r="E494" s="15" t="s">
        <v>1046</v>
      </c>
      <c r="F494" s="20" t="s">
        <v>1787</v>
      </c>
      <c r="G494" s="9" t="s">
        <v>1362</v>
      </c>
      <c r="H494" s="9" t="s">
        <v>1171</v>
      </c>
      <c r="I494" s="9" t="s">
        <v>2133</v>
      </c>
      <c r="J494" s="10">
        <v>39716</v>
      </c>
      <c r="K494" s="10">
        <v>44907</v>
      </c>
      <c r="L494" s="9" t="s">
        <v>1209</v>
      </c>
      <c r="M494" s="33" t="str">
        <f>IF(ISNA(VLOOKUP(D494,'[3]Table APOQUA files'!$B:$B,1,FALSE)),"NO","YES")</f>
        <v>YES</v>
      </c>
      <c r="N494" s="33" t="str">
        <f>IF(ISNA(VLOOKUP(D494,'Base PFR table'!K:K,1,FALSE)),"NO","YES")</f>
        <v>NO</v>
      </c>
      <c r="O494" s="35" t="s">
        <v>2858</v>
      </c>
      <c r="P494" s="35" t="s">
        <v>2858</v>
      </c>
    </row>
    <row r="495" spans="3:16" ht="15" customHeight="1" x14ac:dyDescent="0.25">
      <c r="C495" s="3" t="s">
        <v>2087</v>
      </c>
      <c r="D495" s="60" t="s">
        <v>77</v>
      </c>
      <c r="E495" s="56" t="s">
        <v>1047</v>
      </c>
      <c r="F495" s="57" t="s">
        <v>1208</v>
      </c>
      <c r="G495" s="58" t="s">
        <v>1537</v>
      </c>
      <c r="H495" s="58" t="s">
        <v>612</v>
      </c>
      <c r="I495" s="58" t="s">
        <v>2127</v>
      </c>
      <c r="J495" s="59">
        <v>39716</v>
      </c>
      <c r="K495" s="59">
        <v>40492</v>
      </c>
      <c r="L495" s="58" t="s">
        <v>2645</v>
      </c>
      <c r="M495" s="33" t="str">
        <f>IF(ISNA(VLOOKUP(D495,'[3]Table APOQUA files'!$B:$B,1,FALSE)),"NO","YES")</f>
        <v>YES</v>
      </c>
      <c r="N495" s="33" t="str">
        <f>IF(ISNA(VLOOKUP(D495,'Base PFR table'!K:K,1,FALSE)),"NO","YES")</f>
        <v>NO</v>
      </c>
      <c r="O495" s="3" t="s">
        <v>2857</v>
      </c>
      <c r="P495" s="3" t="s">
        <v>2857</v>
      </c>
    </row>
    <row r="496" spans="3:16" ht="15" customHeight="1" x14ac:dyDescent="0.25">
      <c r="C496" s="72" t="s">
        <v>2087</v>
      </c>
      <c r="D496" s="1" t="s">
        <v>141</v>
      </c>
      <c r="E496" s="15" t="s">
        <v>1048</v>
      </c>
      <c r="F496" s="20" t="s">
        <v>1788</v>
      </c>
      <c r="G496" s="9" t="s">
        <v>1338</v>
      </c>
      <c r="H496" s="9" t="s">
        <v>1169</v>
      </c>
      <c r="I496" s="9" t="s">
        <v>2129</v>
      </c>
      <c r="J496" s="10">
        <v>39804</v>
      </c>
      <c r="K496" s="10">
        <v>45538</v>
      </c>
      <c r="L496" s="9" t="s">
        <v>1209</v>
      </c>
      <c r="M496" s="33" t="str">
        <f>IF(ISNA(VLOOKUP(D496,'[3]Table APOQUA files'!$B:$B,1,FALSE)),"NO","YES")</f>
        <v>YES</v>
      </c>
      <c r="N496" s="33" t="str">
        <f>IF(ISNA(VLOOKUP(D496,'Base PFR table'!K:K,1,FALSE)),"NO","YES")</f>
        <v>YES</v>
      </c>
      <c r="O496" s="35" t="s">
        <v>2858</v>
      </c>
      <c r="P496" s="35" t="s">
        <v>2858</v>
      </c>
    </row>
    <row r="497" spans="3:18" ht="15" customHeight="1" x14ac:dyDescent="0.25">
      <c r="C497" s="72" t="s">
        <v>2087</v>
      </c>
      <c r="D497" s="1" t="s">
        <v>348</v>
      </c>
      <c r="E497" s="15" t="s">
        <v>1049</v>
      </c>
      <c r="F497" s="20" t="s">
        <v>1789</v>
      </c>
      <c r="G497" s="9" t="s">
        <v>1790</v>
      </c>
      <c r="H497" s="9" t="s">
        <v>593</v>
      </c>
      <c r="I497" s="9" t="s">
        <v>2122</v>
      </c>
      <c r="J497" s="10">
        <v>39804</v>
      </c>
      <c r="K497" s="10">
        <v>44319</v>
      </c>
      <c r="L497" s="9" t="s">
        <v>1209</v>
      </c>
      <c r="M497" s="33" t="str">
        <f>IF(ISNA(VLOOKUP(D497,'[3]Table APOQUA files'!$B:$B,1,FALSE)),"NO","YES")</f>
        <v>YES</v>
      </c>
      <c r="N497" s="33" t="str">
        <f>IF(ISNA(VLOOKUP(D497,'Base PFR table'!K:K,1,FALSE)),"NO","YES")</f>
        <v>NO</v>
      </c>
      <c r="O497" s="35" t="s">
        <v>2858</v>
      </c>
      <c r="P497" s="35" t="s">
        <v>2858</v>
      </c>
    </row>
    <row r="498" spans="3:18" ht="15" customHeight="1" x14ac:dyDescent="0.25">
      <c r="C498" s="72" t="s">
        <v>2087</v>
      </c>
      <c r="D498" s="1" t="s">
        <v>208</v>
      </c>
      <c r="E498" s="15" t="s">
        <v>1050</v>
      </c>
      <c r="F498" s="20" t="s">
        <v>1791</v>
      </c>
      <c r="G498" s="9" t="s">
        <v>1792</v>
      </c>
      <c r="H498" s="9" t="s">
        <v>1177</v>
      </c>
      <c r="I498" s="9" t="s">
        <v>2124</v>
      </c>
      <c r="J498" s="10">
        <v>39608</v>
      </c>
      <c r="K498" s="10">
        <v>44319</v>
      </c>
      <c r="L498" s="9" t="s">
        <v>1209</v>
      </c>
      <c r="M498" s="33" t="str">
        <f>IF(ISNA(VLOOKUP(D498,'[3]Table APOQUA files'!$B:$B,1,FALSE)),"NO","YES")</f>
        <v>YES</v>
      </c>
      <c r="N498" s="33" t="str">
        <f>IF(ISNA(VLOOKUP(D498,'Base PFR table'!K:K,1,FALSE)),"NO","YES")</f>
        <v>NO</v>
      </c>
      <c r="O498" s="35" t="s">
        <v>2858</v>
      </c>
      <c r="P498" s="35" t="s">
        <v>2858</v>
      </c>
    </row>
    <row r="499" spans="3:18" ht="15" customHeight="1" x14ac:dyDescent="0.25">
      <c r="C499" s="3" t="s">
        <v>2087</v>
      </c>
      <c r="D499" s="60" t="s">
        <v>234</v>
      </c>
      <c r="E499" s="56" t="s">
        <v>1051</v>
      </c>
      <c r="F499" s="57" t="s">
        <v>1208</v>
      </c>
      <c r="G499" s="58" t="s">
        <v>1208</v>
      </c>
      <c r="H499" s="58" t="s">
        <v>539</v>
      </c>
      <c r="I499" s="58" t="s">
        <v>2133</v>
      </c>
      <c r="J499" s="59">
        <v>39608</v>
      </c>
      <c r="K499" s="59">
        <v>39800</v>
      </c>
      <c r="L499" s="58" t="s">
        <v>2645</v>
      </c>
      <c r="M499" s="33" t="str">
        <f>IF(ISNA(VLOOKUP(D499,'[3]Table APOQUA files'!$B:$B,1,FALSE)),"NO","YES")</f>
        <v>YES</v>
      </c>
      <c r="N499" s="33" t="str">
        <f>IF(ISNA(VLOOKUP(D499,'Base PFR table'!K:K,1,FALSE)),"NO","YES")</f>
        <v>NO</v>
      </c>
      <c r="O499" s="3" t="s">
        <v>2857</v>
      </c>
      <c r="P499" s="3" t="s">
        <v>2857</v>
      </c>
    </row>
    <row r="500" spans="3:18" ht="15" customHeight="1" x14ac:dyDescent="0.25">
      <c r="C500" s="72" t="s">
        <v>2087</v>
      </c>
      <c r="D500" s="1" t="s">
        <v>388</v>
      </c>
      <c r="E500" s="15" t="s">
        <v>1052</v>
      </c>
      <c r="F500" s="20" t="s">
        <v>1793</v>
      </c>
      <c r="G500" s="9" t="s">
        <v>1289</v>
      </c>
      <c r="H500" s="9" t="s">
        <v>1176</v>
      </c>
      <c r="I500" s="9" t="s">
        <v>2130</v>
      </c>
      <c r="J500" s="10">
        <v>39608</v>
      </c>
      <c r="K500" s="10">
        <v>45222</v>
      </c>
      <c r="L500" s="9" t="s">
        <v>1209</v>
      </c>
      <c r="M500" s="33" t="str">
        <f>IF(ISNA(VLOOKUP(D500,'[3]Table APOQUA files'!$B:$B,1,FALSE)),"NO","YES")</f>
        <v>YES</v>
      </c>
      <c r="N500" s="33" t="str">
        <f>IF(ISNA(VLOOKUP(D500,'Base PFR table'!K:K,1,FALSE)),"NO","YES")</f>
        <v>NO</v>
      </c>
      <c r="O500" s="35" t="s">
        <v>2858</v>
      </c>
      <c r="P500" s="35" t="s">
        <v>2858</v>
      </c>
    </row>
    <row r="501" spans="3:18" ht="15" customHeight="1" x14ac:dyDescent="0.25">
      <c r="C501" s="3" t="s">
        <v>2087</v>
      </c>
      <c r="D501" s="60" t="s">
        <v>71</v>
      </c>
      <c r="E501" s="56" t="s">
        <v>1053</v>
      </c>
      <c r="F501" s="57" t="s">
        <v>1794</v>
      </c>
      <c r="G501" s="58" t="s">
        <v>1627</v>
      </c>
      <c r="H501" s="58" t="s">
        <v>608</v>
      </c>
      <c r="I501" s="58" t="s">
        <v>2123</v>
      </c>
      <c r="J501" s="59">
        <v>39608</v>
      </c>
      <c r="K501" s="59">
        <v>40913</v>
      </c>
      <c r="L501" s="58" t="s">
        <v>2645</v>
      </c>
      <c r="M501" s="33" t="str">
        <f>IF(ISNA(VLOOKUP(D501,'[3]Table APOQUA files'!$B:$B,1,FALSE)),"NO","YES")</f>
        <v>YES</v>
      </c>
      <c r="N501" s="33" t="str">
        <f>IF(ISNA(VLOOKUP(D501,'Base PFR table'!K:K,1,FALSE)),"NO","YES")</f>
        <v>NO</v>
      </c>
      <c r="O501" s="3" t="s">
        <v>2857</v>
      </c>
      <c r="P501" s="3" t="s">
        <v>2857</v>
      </c>
    </row>
    <row r="502" spans="3:18" ht="15" customHeight="1" x14ac:dyDescent="0.25">
      <c r="C502" s="72" t="s">
        <v>2087</v>
      </c>
      <c r="D502" s="1" t="s">
        <v>164</v>
      </c>
      <c r="E502" s="15" t="s">
        <v>1054</v>
      </c>
      <c r="F502" s="20" t="s">
        <v>1795</v>
      </c>
      <c r="G502" s="9" t="s">
        <v>1796</v>
      </c>
      <c r="H502" s="9" t="s">
        <v>608</v>
      </c>
      <c r="I502" s="9" t="s">
        <v>2123</v>
      </c>
      <c r="J502" s="10">
        <v>39608</v>
      </c>
      <c r="K502" s="10">
        <v>41534</v>
      </c>
      <c r="L502" s="9" t="s">
        <v>2843</v>
      </c>
      <c r="M502" s="33" t="str">
        <f>IF(ISNA(VLOOKUP(D502,'[3]Table APOQUA files'!$B:$B,1,FALSE)),"NO","YES")</f>
        <v>YES</v>
      </c>
      <c r="N502" s="33" t="str">
        <f>IF(ISNA(VLOOKUP(D502,'Base PFR table'!K:K,1,FALSE)),"NO","YES")</f>
        <v>NO</v>
      </c>
      <c r="O502" s="35" t="s">
        <v>2858</v>
      </c>
      <c r="P502" s="35" t="s">
        <v>2858</v>
      </c>
    </row>
    <row r="503" spans="3:18" ht="15" customHeight="1" x14ac:dyDescent="0.25">
      <c r="C503" s="72" t="s">
        <v>2087</v>
      </c>
      <c r="D503" s="1" t="s">
        <v>242</v>
      </c>
      <c r="E503" s="15" t="s">
        <v>1055</v>
      </c>
      <c r="F503" s="20" t="s">
        <v>1797</v>
      </c>
      <c r="G503" s="9" t="s">
        <v>1283</v>
      </c>
      <c r="H503" s="9" t="s">
        <v>608</v>
      </c>
      <c r="I503" s="9" t="s">
        <v>2123</v>
      </c>
      <c r="J503" s="10">
        <v>39608</v>
      </c>
      <c r="K503" s="10">
        <v>44319</v>
      </c>
      <c r="L503" s="9" t="s">
        <v>1209</v>
      </c>
      <c r="M503" s="33" t="str">
        <f>IF(ISNA(VLOOKUP(D503,'[3]Table APOQUA files'!$B:$B,1,FALSE)),"NO","YES")</f>
        <v>YES</v>
      </c>
      <c r="N503" s="33" t="str">
        <f>IF(ISNA(VLOOKUP(D503,'Base PFR table'!K:K,1,FALSE)),"NO","YES")</f>
        <v>NO</v>
      </c>
      <c r="O503" s="35" t="s">
        <v>2858</v>
      </c>
      <c r="P503" s="35" t="s">
        <v>2858</v>
      </c>
    </row>
    <row r="504" spans="3:18" ht="15" customHeight="1" x14ac:dyDescent="0.25">
      <c r="C504" s="72" t="s">
        <v>2087</v>
      </c>
      <c r="D504" s="1" t="s">
        <v>371</v>
      </c>
      <c r="E504" s="15" t="s">
        <v>1056</v>
      </c>
      <c r="F504" s="20" t="s">
        <v>1798</v>
      </c>
      <c r="G504" s="9" t="s">
        <v>1799</v>
      </c>
      <c r="H504" s="9" t="s">
        <v>608</v>
      </c>
      <c r="I504" s="9" t="s">
        <v>2123</v>
      </c>
      <c r="J504" s="10">
        <v>39608</v>
      </c>
      <c r="K504" s="10">
        <v>43999</v>
      </c>
      <c r="L504" s="9" t="s">
        <v>1207</v>
      </c>
      <c r="M504" s="33" t="str">
        <f>IF(ISNA(VLOOKUP(D504,'[3]Table APOQUA files'!$B:$B,1,FALSE)),"NO","YES")</f>
        <v>YES</v>
      </c>
      <c r="N504" s="33" t="str">
        <f>IF(ISNA(VLOOKUP(D504,'Base PFR table'!K:K,1,FALSE)),"NO","YES")</f>
        <v>NO</v>
      </c>
      <c r="O504" s="35" t="s">
        <v>2858</v>
      </c>
      <c r="P504" s="35" t="s">
        <v>2858</v>
      </c>
    </row>
    <row r="505" spans="3:18" ht="15" customHeight="1" x14ac:dyDescent="0.25">
      <c r="C505" s="72" t="s">
        <v>2087</v>
      </c>
      <c r="D505" s="1" t="s">
        <v>204</v>
      </c>
      <c r="E505" s="15" t="s">
        <v>1057</v>
      </c>
      <c r="F505" s="20" t="s">
        <v>1800</v>
      </c>
      <c r="G505" s="9" t="s">
        <v>1319</v>
      </c>
      <c r="H505" s="9" t="s">
        <v>599</v>
      </c>
      <c r="I505" s="9" t="s">
        <v>2123</v>
      </c>
      <c r="J505" s="10">
        <v>39608</v>
      </c>
      <c r="K505" s="10">
        <v>45040</v>
      </c>
      <c r="L505" s="9" t="s">
        <v>1209</v>
      </c>
      <c r="M505" s="33" t="str">
        <f>IF(ISNA(VLOOKUP(D505,'[3]Table APOQUA files'!$B:$B,1,FALSE)),"NO","YES")</f>
        <v>YES</v>
      </c>
      <c r="N505" s="33" t="str">
        <f>IF(ISNA(VLOOKUP(D505,'Base PFR table'!K:K,1,FALSE)),"NO","YES")</f>
        <v>NO</v>
      </c>
      <c r="O505" s="35" t="s">
        <v>2858</v>
      </c>
      <c r="P505" s="35" t="s">
        <v>2858</v>
      </c>
    </row>
    <row r="506" spans="3:18" ht="15" customHeight="1" x14ac:dyDescent="0.25">
      <c r="C506" s="3" t="s">
        <v>2087</v>
      </c>
      <c r="D506" s="60" t="s">
        <v>462</v>
      </c>
      <c r="E506" s="56" t="s">
        <v>1058</v>
      </c>
      <c r="F506" s="57" t="s">
        <v>1208</v>
      </c>
      <c r="G506" s="58" t="s">
        <v>1801</v>
      </c>
      <c r="H506" s="58" t="s">
        <v>608</v>
      </c>
      <c r="I506" s="58" t="s">
        <v>2123</v>
      </c>
      <c r="J506" s="59">
        <v>39608</v>
      </c>
      <c r="K506" s="59">
        <v>40484</v>
      </c>
      <c r="L506" s="58" t="s">
        <v>2645</v>
      </c>
      <c r="M506" s="33" t="str">
        <f>IF(ISNA(VLOOKUP(D506,'[3]Table APOQUA files'!$B:$B,1,FALSE)),"NO","YES")</f>
        <v>YES</v>
      </c>
      <c r="N506" s="33" t="str">
        <f>IF(ISNA(VLOOKUP(D506,'Base PFR table'!K:K,1,FALSE)),"NO","YES")</f>
        <v>NO</v>
      </c>
      <c r="O506" s="3" t="s">
        <v>2857</v>
      </c>
      <c r="P506" s="3" t="s">
        <v>2857</v>
      </c>
    </row>
    <row r="507" spans="3:18" ht="15" customHeight="1" x14ac:dyDescent="0.25">
      <c r="C507" s="72" t="s">
        <v>2087</v>
      </c>
      <c r="D507" s="1" t="s">
        <v>153</v>
      </c>
      <c r="E507" s="15" t="s">
        <v>2810</v>
      </c>
      <c r="F507" s="20" t="s">
        <v>2811</v>
      </c>
      <c r="G507" s="9" t="s">
        <v>1803</v>
      </c>
      <c r="H507" s="9" t="s">
        <v>608</v>
      </c>
      <c r="I507" s="9" t="s">
        <v>2123</v>
      </c>
      <c r="J507" s="10">
        <v>39608</v>
      </c>
      <c r="K507" s="10">
        <v>44218</v>
      </c>
      <c r="L507" s="9" t="s">
        <v>1207</v>
      </c>
      <c r="M507" s="33" t="str">
        <f>IF(ISNA(VLOOKUP(D507,'[3]Table APOQUA files'!$B:$B,1,FALSE)),"NO","YES")</f>
        <v>YES</v>
      </c>
      <c r="N507" s="33" t="str">
        <f>IF(ISNA(VLOOKUP(D507,'Base PFR table'!K:K,1,FALSE)),"NO","YES")</f>
        <v>NO</v>
      </c>
      <c r="O507" s="35" t="s">
        <v>2858</v>
      </c>
      <c r="P507" s="35" t="s">
        <v>2858</v>
      </c>
    </row>
    <row r="508" spans="3:18" ht="15" customHeight="1" x14ac:dyDescent="0.25">
      <c r="C508" s="69" t="s">
        <v>2087</v>
      </c>
      <c r="D508" s="1" t="s">
        <v>218</v>
      </c>
      <c r="E508" s="15" t="s">
        <v>624</v>
      </c>
      <c r="F508" s="20" t="s">
        <v>1804</v>
      </c>
      <c r="G508" s="9" t="s">
        <v>1411</v>
      </c>
      <c r="H508" s="9" t="s">
        <v>608</v>
      </c>
      <c r="I508" s="9" t="s">
        <v>2126</v>
      </c>
      <c r="J508" s="10">
        <v>39608</v>
      </c>
      <c r="K508" s="10">
        <v>45342</v>
      </c>
      <c r="L508" s="9" t="s">
        <v>1207</v>
      </c>
      <c r="M508" s="33" t="str">
        <f>IF(ISNA(VLOOKUP(D508,'[3]Table APOQUA files'!$B:$B,1,FALSE)),"NO","YES")</f>
        <v>YES</v>
      </c>
      <c r="N508" s="33" t="str">
        <f>IF(ISNA(VLOOKUP(D508,'Base PFR table'!K:K,1,FALSE)),"NO","YES")</f>
        <v>YES</v>
      </c>
      <c r="O508" s="35" t="s">
        <v>2803</v>
      </c>
      <c r="P508" s="35" t="s">
        <v>2803</v>
      </c>
      <c r="Q508" s="3" t="s">
        <v>2867</v>
      </c>
    </row>
    <row r="509" spans="3:18" ht="15" customHeight="1" x14ac:dyDescent="0.25">
      <c r="C509" s="69" t="s">
        <v>2087</v>
      </c>
      <c r="D509" s="1" t="s">
        <v>86</v>
      </c>
      <c r="E509" s="15" t="s">
        <v>1059</v>
      </c>
      <c r="F509" s="20" t="s">
        <v>2812</v>
      </c>
      <c r="G509" s="9" t="s">
        <v>1411</v>
      </c>
      <c r="H509" s="9" t="s">
        <v>608</v>
      </c>
      <c r="I509" s="9" t="s">
        <v>2126</v>
      </c>
      <c r="J509" s="10">
        <v>39608</v>
      </c>
      <c r="K509" s="10">
        <v>45239</v>
      </c>
      <c r="L509" s="10" t="s">
        <v>1207</v>
      </c>
      <c r="M509" s="33" t="str">
        <f>IF(ISNA(VLOOKUP(D509,'[3]Table APOQUA files'!$B:$B,1,FALSE)),"NO","YES")</f>
        <v>YES</v>
      </c>
      <c r="N509" s="33" t="str">
        <f>IF(ISNA(VLOOKUP(D509,'Base PFR table'!K:K,1,FALSE)),"NO","YES")</f>
        <v>NO</v>
      </c>
      <c r="O509" s="35" t="s">
        <v>2858</v>
      </c>
      <c r="P509" s="35" t="s">
        <v>2858</v>
      </c>
    </row>
    <row r="510" spans="3:18" ht="15" customHeight="1" x14ac:dyDescent="0.25">
      <c r="C510" s="69" t="s">
        <v>2087</v>
      </c>
      <c r="D510" s="1" t="s">
        <v>292</v>
      </c>
      <c r="E510" s="15" t="s">
        <v>2813</v>
      </c>
      <c r="F510" s="20" t="s">
        <v>2814</v>
      </c>
      <c r="G510" s="9" t="s">
        <v>1805</v>
      </c>
      <c r="H510" s="9" t="s">
        <v>608</v>
      </c>
      <c r="I510" s="9" t="s">
        <v>2123</v>
      </c>
      <c r="J510" s="10">
        <v>39608</v>
      </c>
      <c r="K510" s="10">
        <v>45251</v>
      </c>
      <c r="L510" s="10" t="s">
        <v>1207</v>
      </c>
      <c r="M510" s="33" t="str">
        <f>IF(ISNA(VLOOKUP(D510,'[3]Table APOQUA files'!$B:$B,1,FALSE)),"NO","YES")</f>
        <v>YES</v>
      </c>
      <c r="N510" s="33" t="str">
        <f>IF(ISNA(VLOOKUP(D510,'Base PFR table'!K:K,1,FALSE)),"NO","YES")</f>
        <v>NO</v>
      </c>
      <c r="O510" s="35" t="s">
        <v>2870</v>
      </c>
      <c r="P510" s="35" t="s">
        <v>2803</v>
      </c>
      <c r="Q510" s="3" t="s">
        <v>2867</v>
      </c>
      <c r="R510" s="3" t="s">
        <v>2869</v>
      </c>
    </row>
    <row r="511" spans="3:18" ht="15" customHeight="1" x14ac:dyDescent="0.25">
      <c r="C511" s="72" t="s">
        <v>2087</v>
      </c>
      <c r="D511" s="1" t="s">
        <v>299</v>
      </c>
      <c r="E511" s="15" t="s">
        <v>1060</v>
      </c>
      <c r="F511" s="20" t="s">
        <v>1806</v>
      </c>
      <c r="G511" s="9" t="s">
        <v>1807</v>
      </c>
      <c r="H511" s="9" t="s">
        <v>599</v>
      </c>
      <c r="I511" s="9" t="s">
        <v>2057</v>
      </c>
      <c r="J511" s="10">
        <v>39608</v>
      </c>
      <c r="K511" s="10">
        <v>44231</v>
      </c>
      <c r="L511" s="9" t="s">
        <v>2843</v>
      </c>
      <c r="M511" s="33" t="str">
        <f>IF(ISNA(VLOOKUP(D511,'[3]Table APOQUA files'!$B:$B,1,FALSE)),"NO","YES")</f>
        <v>YES</v>
      </c>
      <c r="N511" s="33" t="str">
        <f>IF(ISNA(VLOOKUP(D511,'Base PFR table'!K:K,1,FALSE)),"NO","YES")</f>
        <v>NO</v>
      </c>
      <c r="O511" s="35" t="s">
        <v>2858</v>
      </c>
      <c r="P511" s="35" t="s">
        <v>2858</v>
      </c>
    </row>
    <row r="512" spans="3:18" ht="15" customHeight="1" x14ac:dyDescent="0.25">
      <c r="C512" s="69" t="s">
        <v>2087</v>
      </c>
      <c r="D512" s="1" t="s">
        <v>300</v>
      </c>
      <c r="E512" s="15" t="s">
        <v>1061</v>
      </c>
      <c r="F512" s="20" t="s">
        <v>1808</v>
      </c>
      <c r="G512" s="9" t="s">
        <v>1422</v>
      </c>
      <c r="H512" s="9" t="s">
        <v>599</v>
      </c>
      <c r="I512" s="9" t="s">
        <v>2122</v>
      </c>
      <c r="J512" s="10">
        <v>39608</v>
      </c>
      <c r="K512" s="10">
        <v>44082</v>
      </c>
      <c r="L512" s="9" t="s">
        <v>1207</v>
      </c>
      <c r="M512" s="33" t="str">
        <f>IF(ISNA(VLOOKUP(D512,'[3]Table APOQUA files'!$B:$B,1,FALSE)),"NO","YES")</f>
        <v>YES</v>
      </c>
      <c r="N512" s="33" t="str">
        <f>IF(ISNA(VLOOKUP(D512,'Base PFR table'!K:K,1,FALSE)),"NO","YES")</f>
        <v>NO</v>
      </c>
      <c r="O512" s="35" t="s">
        <v>2858</v>
      </c>
      <c r="P512" s="35" t="s">
        <v>2858</v>
      </c>
    </row>
    <row r="513" spans="3:104" ht="15" customHeight="1" x14ac:dyDescent="0.25">
      <c r="C513" s="72" t="s">
        <v>2087</v>
      </c>
      <c r="D513" s="1" t="s">
        <v>466</v>
      </c>
      <c r="E513" s="93" t="s">
        <v>1062</v>
      </c>
      <c r="F513" s="20" t="s">
        <v>1809</v>
      </c>
      <c r="G513" s="9" t="s">
        <v>1810</v>
      </c>
      <c r="H513" s="9" t="s">
        <v>608</v>
      </c>
      <c r="I513" s="9" t="s">
        <v>2123</v>
      </c>
      <c r="J513" s="10">
        <v>39608</v>
      </c>
      <c r="K513" s="10">
        <v>45226</v>
      </c>
      <c r="L513" s="9" t="s">
        <v>1207</v>
      </c>
      <c r="M513" s="33" t="str">
        <f>IF(ISNA(VLOOKUP(D513,'[3]Table APOQUA files'!$B:$B,1,FALSE)),"NO","YES")</f>
        <v>YES</v>
      </c>
      <c r="N513" s="33" t="str">
        <f>IF(ISNA(VLOOKUP(D513,'Base PFR table'!K:K,1,FALSE)),"NO","YES")</f>
        <v>NO</v>
      </c>
      <c r="O513" s="35" t="s">
        <v>2858</v>
      </c>
      <c r="P513" s="35" t="s">
        <v>2858</v>
      </c>
    </row>
    <row r="514" spans="3:104" ht="15" customHeight="1" x14ac:dyDescent="0.25">
      <c r="C514" s="69" t="s">
        <v>2087</v>
      </c>
      <c r="D514" s="1" t="s">
        <v>294</v>
      </c>
      <c r="E514" s="15" t="s">
        <v>1063</v>
      </c>
      <c r="F514" s="20" t="s">
        <v>1811</v>
      </c>
      <c r="G514" s="9" t="s">
        <v>1490</v>
      </c>
      <c r="H514" s="9" t="s">
        <v>1171</v>
      </c>
      <c r="I514" s="9" t="s">
        <v>2123</v>
      </c>
      <c r="J514" s="10">
        <v>39608</v>
      </c>
      <c r="K514" s="10">
        <v>44869</v>
      </c>
      <c r="L514" s="9" t="s">
        <v>2843</v>
      </c>
      <c r="M514" s="33" t="str">
        <f>IF(ISNA(VLOOKUP(D514,'[3]Table APOQUA files'!$B:$B,1,FALSE)),"NO","YES")</f>
        <v>YES</v>
      </c>
      <c r="N514" s="33" t="str">
        <f>IF(ISNA(VLOOKUP(D514,'Base PFR table'!K:K,1,FALSE)),"NO","YES")</f>
        <v>NO</v>
      </c>
      <c r="O514" s="35" t="s">
        <v>2858</v>
      </c>
      <c r="P514" s="35" t="s">
        <v>2858</v>
      </c>
    </row>
    <row r="515" spans="3:104" ht="15" customHeight="1" x14ac:dyDescent="0.25">
      <c r="C515" s="3" t="s">
        <v>2087</v>
      </c>
      <c r="D515" s="60" t="s">
        <v>144</v>
      </c>
      <c r="E515" s="56" t="s">
        <v>1064</v>
      </c>
      <c r="F515" s="57" t="s">
        <v>1208</v>
      </c>
      <c r="G515" s="58" t="s">
        <v>1364</v>
      </c>
      <c r="H515" s="58" t="s">
        <v>608</v>
      </c>
      <c r="I515" s="58" t="s">
        <v>2123</v>
      </c>
      <c r="J515" s="59">
        <v>39608</v>
      </c>
      <c r="K515" s="59">
        <v>40484</v>
      </c>
      <c r="L515" s="58" t="s">
        <v>2645</v>
      </c>
      <c r="M515" s="33" t="str">
        <f>IF(ISNA(VLOOKUP(D515,'[3]Table APOQUA files'!$B:$B,1,FALSE)),"NO","YES")</f>
        <v>YES</v>
      </c>
      <c r="N515" s="33" t="str">
        <f>IF(ISNA(VLOOKUP(D515,'Base PFR table'!K:K,1,FALSE)),"NO","YES")</f>
        <v>NO</v>
      </c>
      <c r="O515" s="3" t="s">
        <v>2857</v>
      </c>
      <c r="P515" s="3" t="s">
        <v>2857</v>
      </c>
    </row>
    <row r="516" spans="3:104" ht="15" customHeight="1" x14ac:dyDescent="0.25">
      <c r="C516" s="72" t="s">
        <v>2087</v>
      </c>
      <c r="D516" s="14" t="s">
        <v>146</v>
      </c>
      <c r="E516" s="15" t="s">
        <v>1065</v>
      </c>
      <c r="F516" s="20" t="s">
        <v>1812</v>
      </c>
      <c r="G516" s="9" t="s">
        <v>1813</v>
      </c>
      <c r="H516" s="9" t="s">
        <v>608</v>
      </c>
      <c r="I516" s="9" t="s">
        <v>2123</v>
      </c>
      <c r="J516" s="10">
        <v>39608</v>
      </c>
      <c r="K516" s="10">
        <v>45575</v>
      </c>
      <c r="L516" s="9" t="s">
        <v>1207</v>
      </c>
      <c r="M516" s="33" t="str">
        <f>IF(ISNA(VLOOKUP(D516,'[3]Table APOQUA files'!$B:$B,1,FALSE)),"NO","YES")</f>
        <v>YES</v>
      </c>
      <c r="N516" s="33" t="str">
        <f>IF(ISNA(VLOOKUP(D516,'Base PFR table'!K:K,1,FALSE)),"NO","YES")</f>
        <v>NO</v>
      </c>
      <c r="O516" s="35" t="s">
        <v>2858</v>
      </c>
      <c r="P516" s="35" t="s">
        <v>2858</v>
      </c>
    </row>
    <row r="517" spans="3:104" ht="15" customHeight="1" x14ac:dyDescent="0.25">
      <c r="C517" s="69" t="s">
        <v>2087</v>
      </c>
      <c r="D517" s="14" t="s">
        <v>315</v>
      </c>
      <c r="E517" s="15" t="s">
        <v>1066</v>
      </c>
      <c r="F517" s="20" t="s">
        <v>1814</v>
      </c>
      <c r="G517" s="9" t="s">
        <v>1815</v>
      </c>
      <c r="H517" s="9" t="s">
        <v>608</v>
      </c>
      <c r="I517" s="9" t="s">
        <v>2123</v>
      </c>
      <c r="J517" s="10">
        <v>39608</v>
      </c>
      <c r="K517" s="10">
        <v>41540</v>
      </c>
      <c r="L517" s="9" t="s">
        <v>2843</v>
      </c>
      <c r="M517" s="33" t="str">
        <f>IF(ISNA(VLOOKUP(D517,'[3]Table APOQUA files'!$B:$B,1,FALSE)),"NO","YES")</f>
        <v>YES</v>
      </c>
      <c r="N517" s="33" t="str">
        <f>IF(ISNA(VLOOKUP(D517,'Base PFR table'!K:K,1,FALSE)),"NO","YES")</f>
        <v>NO</v>
      </c>
      <c r="O517" s="35" t="s">
        <v>2858</v>
      </c>
      <c r="P517" s="35" t="s">
        <v>2858</v>
      </c>
    </row>
    <row r="518" spans="3:104" ht="15" customHeight="1" x14ac:dyDescent="0.25">
      <c r="C518" s="69" t="s">
        <v>2087</v>
      </c>
      <c r="D518" s="1" t="s">
        <v>306</v>
      </c>
      <c r="E518" s="15" t="s">
        <v>1067</v>
      </c>
      <c r="F518" s="20" t="s">
        <v>1816</v>
      </c>
      <c r="G518" s="9" t="s">
        <v>1283</v>
      </c>
      <c r="H518" s="9" t="s">
        <v>608</v>
      </c>
      <c r="I518" s="9" t="s">
        <v>2123</v>
      </c>
      <c r="J518" s="10">
        <v>39608</v>
      </c>
      <c r="K518" s="10">
        <v>41012</v>
      </c>
      <c r="L518" s="9" t="s">
        <v>2843</v>
      </c>
      <c r="M518" s="33" t="str">
        <f>IF(ISNA(VLOOKUP(D518,'[3]Table APOQUA files'!$B:$B,1,FALSE)),"NO","YES")</f>
        <v>YES</v>
      </c>
      <c r="N518" s="33" t="str">
        <f>IF(ISNA(VLOOKUP(D518,'Base PFR table'!K:K,1,FALSE)),"NO","YES")</f>
        <v>NO</v>
      </c>
      <c r="O518" s="35" t="s">
        <v>2858</v>
      </c>
      <c r="P518" s="35" t="s">
        <v>2858</v>
      </c>
    </row>
    <row r="519" spans="3:104" ht="15" customHeight="1" x14ac:dyDescent="0.25">
      <c r="C519" s="72" t="s">
        <v>2087</v>
      </c>
      <c r="D519" s="14" t="s">
        <v>305</v>
      </c>
      <c r="E519" s="15" t="s">
        <v>2815</v>
      </c>
      <c r="F519" s="20" t="s">
        <v>2816</v>
      </c>
      <c r="G519" s="9" t="s">
        <v>1283</v>
      </c>
      <c r="H519" s="9" t="s">
        <v>608</v>
      </c>
      <c r="I519" s="9" t="s">
        <v>2123</v>
      </c>
      <c r="J519" s="10">
        <v>39608</v>
      </c>
      <c r="K519" s="10">
        <v>45615</v>
      </c>
      <c r="L519" s="9" t="s">
        <v>1207</v>
      </c>
      <c r="M519" s="33" t="str">
        <f>IF(ISNA(VLOOKUP(D519,'[3]Table APOQUA files'!$B:$B,1,FALSE)),"NO","YES")</f>
        <v>YES</v>
      </c>
      <c r="N519" s="33" t="str">
        <f>IF(ISNA(VLOOKUP(D519,'Base PFR table'!K:K,1,FALSE)),"NO","YES")</f>
        <v>NO</v>
      </c>
      <c r="O519" s="35" t="s">
        <v>2858</v>
      </c>
      <c r="P519" s="35" t="s">
        <v>2858</v>
      </c>
    </row>
    <row r="520" spans="3:104" ht="15" customHeight="1" x14ac:dyDescent="0.25">
      <c r="C520" s="69" t="s">
        <v>2087</v>
      </c>
      <c r="D520" s="1" t="s">
        <v>267</v>
      </c>
      <c r="E520" s="15" t="s">
        <v>1068</v>
      </c>
      <c r="F520" s="20" t="s">
        <v>1818</v>
      </c>
      <c r="G520" s="9" t="s">
        <v>1364</v>
      </c>
      <c r="H520" s="9" t="s">
        <v>608</v>
      </c>
      <c r="I520" s="9" t="s">
        <v>2123</v>
      </c>
      <c r="J520" s="10">
        <v>39608</v>
      </c>
      <c r="K520" s="10">
        <v>42621</v>
      </c>
      <c r="L520" s="9" t="s">
        <v>2843</v>
      </c>
      <c r="M520" s="33" t="str">
        <f>IF(ISNA(VLOOKUP(D520,'[3]Table APOQUA files'!$B:$B,1,FALSE)),"NO","YES")</f>
        <v>YES</v>
      </c>
      <c r="N520" s="33" t="str">
        <f>IF(ISNA(VLOOKUP(D520,'Base PFR table'!K:K,1,FALSE)),"NO","YES")</f>
        <v>NO</v>
      </c>
      <c r="O520" s="35" t="s">
        <v>2858</v>
      </c>
      <c r="P520" s="35" t="s">
        <v>2858</v>
      </c>
    </row>
    <row r="521" spans="3:104" ht="15" customHeight="1" x14ac:dyDescent="0.25">
      <c r="C521" s="69" t="s">
        <v>2087</v>
      </c>
      <c r="D521" s="14" t="s">
        <v>321</v>
      </c>
      <c r="E521" s="15" t="s">
        <v>1069</v>
      </c>
      <c r="F521" s="20" t="s">
        <v>1819</v>
      </c>
      <c r="G521" s="9" t="s">
        <v>1803</v>
      </c>
      <c r="H521" s="9" t="s">
        <v>608</v>
      </c>
      <c r="I521" s="9" t="s">
        <v>2123</v>
      </c>
      <c r="J521" s="10">
        <v>39608</v>
      </c>
      <c r="K521" s="10">
        <v>45481</v>
      </c>
      <c r="L521" s="9" t="s">
        <v>1207</v>
      </c>
      <c r="M521" s="33" t="str">
        <f>IF(ISNA(VLOOKUP(D521,'[3]Table APOQUA files'!$B:$B,1,FALSE)),"NO","YES")</f>
        <v>YES</v>
      </c>
      <c r="N521" s="33" t="str">
        <f>IF(ISNA(VLOOKUP(D521,'Base PFR table'!K:K,1,FALSE)),"NO","YES")</f>
        <v>NO</v>
      </c>
      <c r="O521" s="35" t="s">
        <v>2858</v>
      </c>
      <c r="P521" s="35" t="s">
        <v>2858</v>
      </c>
    </row>
    <row r="522" spans="3:104" ht="15" customHeight="1" x14ac:dyDescent="0.25">
      <c r="C522" s="69" t="s">
        <v>2087</v>
      </c>
      <c r="D522" s="1" t="s">
        <v>196</v>
      </c>
      <c r="E522" s="15" t="s">
        <v>1070</v>
      </c>
      <c r="F522" s="20" t="s">
        <v>1820</v>
      </c>
      <c r="G522" s="9" t="s">
        <v>1304</v>
      </c>
      <c r="H522" s="9" t="s">
        <v>1171</v>
      </c>
      <c r="I522" s="9" t="s">
        <v>2133</v>
      </c>
      <c r="J522" s="10">
        <v>39608</v>
      </c>
      <c r="K522" s="10">
        <v>42754</v>
      </c>
      <c r="L522" s="9" t="s">
        <v>2843</v>
      </c>
      <c r="M522" s="33" t="str">
        <f>IF(ISNA(VLOOKUP(D522,'[3]Table APOQUA files'!$B:$B,1,FALSE)),"NO","YES")</f>
        <v>YES</v>
      </c>
      <c r="N522" s="33" t="str">
        <f>IF(ISNA(VLOOKUP(D522,'Base PFR table'!K:K,1,FALSE)),"NO","YES")</f>
        <v>NO</v>
      </c>
      <c r="O522" s="35" t="s">
        <v>2858</v>
      </c>
      <c r="P522" s="35" t="s">
        <v>2858</v>
      </c>
    </row>
    <row r="523" spans="3:104" ht="15" customHeight="1" x14ac:dyDescent="0.25">
      <c r="C523" s="72" t="s">
        <v>2087</v>
      </c>
      <c r="D523" s="1" t="s">
        <v>214</v>
      </c>
      <c r="E523" s="15" t="s">
        <v>2817</v>
      </c>
      <c r="F523" s="20" t="s">
        <v>2818</v>
      </c>
      <c r="G523" s="9" t="s">
        <v>1627</v>
      </c>
      <c r="H523" s="9" t="s">
        <v>608</v>
      </c>
      <c r="I523" s="9" t="s">
        <v>2123</v>
      </c>
      <c r="J523" s="10">
        <v>39608</v>
      </c>
      <c r="K523" s="10">
        <v>45406</v>
      </c>
      <c r="L523" s="9" t="s">
        <v>1207</v>
      </c>
      <c r="M523" s="33" t="str">
        <f>IF(ISNA(VLOOKUP(D523,'[3]Table APOQUA files'!$B:$B,1,FALSE)),"NO","YES")</f>
        <v>YES</v>
      </c>
      <c r="N523" s="33" t="str">
        <f>IF(ISNA(VLOOKUP(D523,'Base PFR table'!K:K,1,FALSE)),"NO","YES")</f>
        <v>YES</v>
      </c>
      <c r="O523" s="35" t="s">
        <v>2858</v>
      </c>
      <c r="P523" s="35" t="s">
        <v>2858</v>
      </c>
    </row>
    <row r="524" spans="3:104" ht="15" customHeight="1" x14ac:dyDescent="0.25">
      <c r="C524" s="69" t="s">
        <v>2087</v>
      </c>
      <c r="D524" s="14" t="s">
        <v>38</v>
      </c>
      <c r="E524" s="15" t="s">
        <v>1204</v>
      </c>
      <c r="F524" s="20" t="s">
        <v>1821</v>
      </c>
      <c r="G524" s="9" t="s">
        <v>1233</v>
      </c>
      <c r="H524" s="9" t="s">
        <v>593</v>
      </c>
      <c r="I524" s="9" t="s">
        <v>2122</v>
      </c>
      <c r="J524" s="10">
        <v>39608</v>
      </c>
      <c r="K524" s="10">
        <v>45476</v>
      </c>
      <c r="L524" s="10" t="s">
        <v>1207</v>
      </c>
      <c r="M524" s="33" t="str">
        <f>IF(ISNA(VLOOKUP(D524,'[3]Table APOQUA files'!$B:$B,1,FALSE)),"NO","YES")</f>
        <v>YES</v>
      </c>
      <c r="N524" s="33" t="str">
        <f>IF(ISNA(VLOOKUP(D524,'Base PFR table'!K:K,1,FALSE)),"NO","YES")</f>
        <v>NO</v>
      </c>
      <c r="O524" s="35" t="s">
        <v>2858</v>
      </c>
      <c r="P524" s="35" t="s">
        <v>2858</v>
      </c>
    </row>
    <row r="525" spans="3:104" ht="15" customHeight="1" x14ac:dyDescent="0.25">
      <c r="C525" s="72" t="s">
        <v>2087</v>
      </c>
      <c r="D525" s="1" t="s">
        <v>303</v>
      </c>
      <c r="E525" s="15" t="s">
        <v>1071</v>
      </c>
      <c r="F525" s="20" t="s">
        <v>1822</v>
      </c>
      <c r="G525" s="9" t="s">
        <v>1283</v>
      </c>
      <c r="H525" s="9" t="s">
        <v>608</v>
      </c>
      <c r="I525" s="9" t="s">
        <v>2123</v>
      </c>
      <c r="J525" s="10">
        <v>39608</v>
      </c>
      <c r="K525" s="10">
        <v>45222</v>
      </c>
      <c r="L525" s="9" t="s">
        <v>1209</v>
      </c>
      <c r="M525" s="33" t="str">
        <f>IF(ISNA(VLOOKUP(D525,'[3]Table APOQUA files'!$B:$B,1,FALSE)),"NO","YES")</f>
        <v>YES</v>
      </c>
      <c r="N525" s="33" t="str">
        <f>IF(ISNA(VLOOKUP(D525,'Base PFR table'!K:K,1,FALSE)),"NO","YES")</f>
        <v>NO</v>
      </c>
      <c r="O525" s="35" t="s">
        <v>2858</v>
      </c>
      <c r="P525" s="35" t="s">
        <v>2858</v>
      </c>
    </row>
    <row r="526" spans="3:104" ht="15" customHeight="1" x14ac:dyDescent="0.25">
      <c r="C526" s="69" t="s">
        <v>2087</v>
      </c>
      <c r="D526" s="1" t="s">
        <v>26</v>
      </c>
      <c r="E526" s="15" t="s">
        <v>1072</v>
      </c>
      <c r="F526" s="20" t="s">
        <v>1823</v>
      </c>
      <c r="G526" s="9" t="s">
        <v>1268</v>
      </c>
      <c r="H526" s="9" t="s">
        <v>608</v>
      </c>
      <c r="I526" s="9" t="s">
        <v>2123</v>
      </c>
      <c r="J526" s="10">
        <v>39608</v>
      </c>
      <c r="K526" s="10">
        <v>45406</v>
      </c>
      <c r="L526" s="9" t="s">
        <v>1207</v>
      </c>
      <c r="M526" s="33" t="str">
        <f>IF(ISNA(VLOOKUP(D526,'[3]Table APOQUA files'!$B:$B,1,FALSE)),"NO","YES")</f>
        <v>YES</v>
      </c>
      <c r="N526" s="33" t="str">
        <f>IF(ISNA(VLOOKUP(D526,'Base PFR table'!K:K,1,FALSE)),"NO","YES")</f>
        <v>YES</v>
      </c>
      <c r="O526" s="35" t="s">
        <v>2858</v>
      </c>
      <c r="P526" s="35" t="s">
        <v>2858</v>
      </c>
    </row>
    <row r="527" spans="3:104" s="70" customFormat="1" ht="15" customHeight="1" x14ac:dyDescent="0.25">
      <c r="C527" s="70" t="s">
        <v>2087</v>
      </c>
      <c r="D527" s="1" t="s">
        <v>361</v>
      </c>
      <c r="E527" s="93" t="s">
        <v>1073</v>
      </c>
      <c r="F527" s="22" t="s">
        <v>1824</v>
      </c>
      <c r="G527" s="16" t="s">
        <v>1825</v>
      </c>
      <c r="H527" s="16" t="s">
        <v>1177</v>
      </c>
      <c r="I527" s="16">
        <v>0</v>
      </c>
      <c r="J527" s="17">
        <v>39608</v>
      </c>
      <c r="K527" s="17">
        <v>45222</v>
      </c>
      <c r="L527" s="16" t="s">
        <v>2843</v>
      </c>
      <c r="M527" s="55" t="str">
        <f>IF(ISNA(VLOOKUP(D527,'[3]Table APOQUA files'!$B:$B,1,FALSE)),"NO","YES")</f>
        <v>YES</v>
      </c>
      <c r="N527" s="55" t="str">
        <f>IF(ISNA(VLOOKUP(D527,'Base PFR table'!K:K,1,FALSE)),"NO","YES")</f>
        <v>NO</v>
      </c>
      <c r="O527" s="35" t="s">
        <v>2858</v>
      </c>
      <c r="P527" s="35" t="s">
        <v>2858</v>
      </c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  <c r="CV527" s="18"/>
      <c r="CW527" s="18"/>
      <c r="CX527" s="18"/>
      <c r="CY527" s="18"/>
      <c r="CZ527" s="18"/>
    </row>
    <row r="528" spans="3:104" ht="15" customHeight="1" x14ac:dyDescent="0.25">
      <c r="C528" s="72" t="s">
        <v>2087</v>
      </c>
      <c r="D528" s="14" t="s">
        <v>314</v>
      </c>
      <c r="E528" s="15" t="s">
        <v>2819</v>
      </c>
      <c r="F528" s="20" t="s">
        <v>2820</v>
      </c>
      <c r="G528" s="9" t="s">
        <v>1827</v>
      </c>
      <c r="H528" s="9" t="s">
        <v>608</v>
      </c>
      <c r="I528" s="9" t="s">
        <v>2123</v>
      </c>
      <c r="J528" s="10">
        <v>39608</v>
      </c>
      <c r="K528" s="10">
        <v>45476</v>
      </c>
      <c r="L528" s="9" t="s">
        <v>1207</v>
      </c>
      <c r="M528" s="33" t="str">
        <f>IF(ISNA(VLOOKUP(D528,'[3]Table APOQUA files'!$B:$B,1,FALSE)),"NO","YES")</f>
        <v>YES</v>
      </c>
      <c r="N528" s="33" t="str">
        <f>IF(ISNA(VLOOKUP(D528,'Base PFR table'!K:K,1,FALSE)),"NO","YES")</f>
        <v>NO</v>
      </c>
      <c r="O528" s="35" t="s">
        <v>2858</v>
      </c>
      <c r="P528" s="35" t="s">
        <v>2858</v>
      </c>
    </row>
    <row r="529" spans="3:104" s="70" customFormat="1" ht="15" customHeight="1" x14ac:dyDescent="0.25">
      <c r="C529" s="70" t="s">
        <v>2087</v>
      </c>
      <c r="D529" s="14" t="s">
        <v>458</v>
      </c>
      <c r="E529" s="15" t="s">
        <v>1074</v>
      </c>
      <c r="F529" s="22" t="s">
        <v>1828</v>
      </c>
      <c r="G529" s="16" t="s">
        <v>1829</v>
      </c>
      <c r="H529" s="16" t="s">
        <v>608</v>
      </c>
      <c r="I529" s="16" t="s">
        <v>2057</v>
      </c>
      <c r="J529" s="17">
        <v>39608</v>
      </c>
      <c r="K529" s="17">
        <v>45222</v>
      </c>
      <c r="L529" s="16" t="s">
        <v>2843</v>
      </c>
      <c r="M529" s="55" t="str">
        <f>IF(ISNA(VLOOKUP(D529,'[3]Table APOQUA files'!$B:$B,1,FALSE)),"NO","YES")</f>
        <v>YES</v>
      </c>
      <c r="N529" s="55" t="str">
        <f>IF(ISNA(VLOOKUP(D529,'Base PFR table'!K:K,1,FALSE)),"NO","YES")</f>
        <v>NO</v>
      </c>
      <c r="O529" s="35" t="s">
        <v>2858</v>
      </c>
      <c r="P529" s="35" t="s">
        <v>2858</v>
      </c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18"/>
      <c r="CW529" s="18"/>
      <c r="CX529" s="18"/>
      <c r="CY529" s="18"/>
      <c r="CZ529" s="18"/>
    </row>
    <row r="530" spans="3:104" ht="15" customHeight="1" x14ac:dyDescent="0.25">
      <c r="C530" s="72" t="s">
        <v>2087</v>
      </c>
      <c r="D530" s="14" t="s">
        <v>163</v>
      </c>
      <c r="E530" s="15" t="s">
        <v>1075</v>
      </c>
      <c r="F530" s="20" t="s">
        <v>1830</v>
      </c>
      <c r="G530" s="9" t="s">
        <v>1331</v>
      </c>
      <c r="H530" s="9" t="s">
        <v>608</v>
      </c>
      <c r="I530" s="9" t="s">
        <v>2123</v>
      </c>
      <c r="J530" s="10">
        <v>39608</v>
      </c>
      <c r="K530" s="10">
        <v>45533</v>
      </c>
      <c r="L530" s="9" t="s">
        <v>1207</v>
      </c>
      <c r="M530" s="33" t="str">
        <f>IF(ISNA(VLOOKUP(D530,'[3]Table APOQUA files'!$B:$B,1,FALSE)),"NO","YES")</f>
        <v>YES</v>
      </c>
      <c r="N530" s="33" t="str">
        <f>IF(ISNA(VLOOKUP(D530,'Base PFR table'!K:K,1,FALSE)),"NO","YES")</f>
        <v>NO</v>
      </c>
      <c r="O530" s="35" t="s">
        <v>2858</v>
      </c>
      <c r="P530" s="35" t="s">
        <v>2858</v>
      </c>
    </row>
    <row r="531" spans="3:104" ht="15" customHeight="1" x14ac:dyDescent="0.25">
      <c r="C531" s="69" t="s">
        <v>2087</v>
      </c>
      <c r="D531" s="14" t="s">
        <v>87</v>
      </c>
      <c r="E531" s="15" t="s">
        <v>2821</v>
      </c>
      <c r="F531" s="20" t="s">
        <v>1831</v>
      </c>
      <c r="G531" s="9" t="s">
        <v>1233</v>
      </c>
      <c r="H531" s="9" t="s">
        <v>593</v>
      </c>
      <c r="I531" s="9" t="s">
        <v>2122</v>
      </c>
      <c r="J531" s="10">
        <v>39608</v>
      </c>
      <c r="K531" s="10">
        <v>45490</v>
      </c>
      <c r="L531" s="10" t="s">
        <v>1207</v>
      </c>
      <c r="M531" s="33" t="str">
        <f>IF(ISNA(VLOOKUP(D531,'[3]Table APOQUA files'!$B:$B,1,FALSE)),"NO","YES")</f>
        <v>YES</v>
      </c>
      <c r="N531" s="33" t="str">
        <f>IF(ISNA(VLOOKUP(D531,'Base PFR table'!K:K,1,FALSE)),"NO","YES")</f>
        <v>NO</v>
      </c>
      <c r="O531" s="35" t="s">
        <v>2858</v>
      </c>
      <c r="P531" s="35" t="s">
        <v>2858</v>
      </c>
    </row>
    <row r="532" spans="3:104" ht="15" customHeight="1" x14ac:dyDescent="0.25">
      <c r="C532" s="72" t="s">
        <v>2087</v>
      </c>
      <c r="D532" s="1" t="s">
        <v>215</v>
      </c>
      <c r="E532" s="15" t="s">
        <v>1076</v>
      </c>
      <c r="F532" s="20" t="s">
        <v>1833</v>
      </c>
      <c r="G532" s="9" t="s">
        <v>1834</v>
      </c>
      <c r="H532" s="9" t="s">
        <v>608</v>
      </c>
      <c r="I532" s="9" t="s">
        <v>2123</v>
      </c>
      <c r="J532" s="10">
        <v>39608</v>
      </c>
      <c r="K532" s="10">
        <v>44319</v>
      </c>
      <c r="L532" s="9" t="s">
        <v>1209</v>
      </c>
      <c r="M532" s="33" t="str">
        <f>IF(ISNA(VLOOKUP(D532,'[3]Table APOQUA files'!$B:$B,1,FALSE)),"NO","YES")</f>
        <v>YES</v>
      </c>
      <c r="N532" s="33" t="str">
        <f>IF(ISNA(VLOOKUP(D532,'Base PFR table'!K:K,1,FALSE)),"NO","YES")</f>
        <v>NO</v>
      </c>
      <c r="O532" s="35" t="s">
        <v>2858</v>
      </c>
      <c r="P532" s="35" t="s">
        <v>2858</v>
      </c>
    </row>
    <row r="533" spans="3:104" ht="15" customHeight="1" x14ac:dyDescent="0.25">
      <c r="C533" s="3" t="s">
        <v>2087</v>
      </c>
      <c r="D533" s="60" t="s">
        <v>91</v>
      </c>
      <c r="E533" s="56" t="s">
        <v>1077</v>
      </c>
      <c r="F533" s="57" t="s">
        <v>1208</v>
      </c>
      <c r="G533" s="58" t="s">
        <v>1208</v>
      </c>
      <c r="H533" s="58" t="s">
        <v>539</v>
      </c>
      <c r="I533" s="58" t="s">
        <v>2122</v>
      </c>
      <c r="J533" s="59">
        <v>39608</v>
      </c>
      <c r="K533" s="59">
        <v>40218</v>
      </c>
      <c r="L533" s="58" t="s">
        <v>2645</v>
      </c>
      <c r="M533" s="33" t="str">
        <f>IF(ISNA(VLOOKUP(D533,'[3]Table APOQUA files'!$B:$B,1,FALSE)),"NO","YES")</f>
        <v>YES</v>
      </c>
      <c r="N533" s="33" t="str">
        <f>IF(ISNA(VLOOKUP(D533,'Base PFR table'!K:K,1,FALSE)),"NO","YES")</f>
        <v>NO</v>
      </c>
      <c r="O533" s="3" t="s">
        <v>2857</v>
      </c>
      <c r="P533" s="3" t="s">
        <v>2857</v>
      </c>
    </row>
    <row r="534" spans="3:104" ht="15" customHeight="1" x14ac:dyDescent="0.25">
      <c r="C534" s="69" t="s">
        <v>2087</v>
      </c>
      <c r="D534" s="1" t="s">
        <v>154</v>
      </c>
      <c r="E534" s="15" t="s">
        <v>1078</v>
      </c>
      <c r="F534" s="20" t="s">
        <v>1835</v>
      </c>
      <c r="G534" s="9" t="s">
        <v>1233</v>
      </c>
      <c r="H534" s="9" t="s">
        <v>593</v>
      </c>
      <c r="I534" s="9" t="s">
        <v>2122</v>
      </c>
      <c r="J534" s="10">
        <v>39608</v>
      </c>
      <c r="K534" s="10">
        <v>44249</v>
      </c>
      <c r="L534" s="9" t="s">
        <v>1207</v>
      </c>
      <c r="M534" s="33" t="str">
        <f>IF(ISNA(VLOOKUP(D534,'[3]Table APOQUA files'!$B:$B,1,FALSE)),"NO","YES")</f>
        <v>YES</v>
      </c>
      <c r="N534" s="33" t="str">
        <f>IF(ISNA(VLOOKUP(D534,'Base PFR table'!K:K,1,FALSE)),"NO","YES")</f>
        <v>NO</v>
      </c>
      <c r="O534" s="35" t="s">
        <v>2858</v>
      </c>
      <c r="P534" s="35" t="s">
        <v>2858</v>
      </c>
    </row>
    <row r="535" spans="3:104" ht="15" customHeight="1" x14ac:dyDescent="0.25">
      <c r="C535" s="72" t="s">
        <v>2087</v>
      </c>
      <c r="D535" s="1" t="s">
        <v>53</v>
      </c>
      <c r="E535" s="15" t="s">
        <v>2822</v>
      </c>
      <c r="F535" s="20" t="s">
        <v>2823</v>
      </c>
      <c r="G535" s="9" t="s">
        <v>1358</v>
      </c>
      <c r="H535" s="9" t="s">
        <v>1171</v>
      </c>
      <c r="I535" s="9" t="s">
        <v>2133</v>
      </c>
      <c r="J535" s="10">
        <v>39608</v>
      </c>
      <c r="K535" s="10">
        <v>45406</v>
      </c>
      <c r="L535" s="9" t="s">
        <v>1207</v>
      </c>
      <c r="M535" s="33" t="str">
        <f>IF(ISNA(VLOOKUP(D535,'[3]Table APOQUA files'!$B:$B,1,FALSE)),"NO","YES")</f>
        <v>YES</v>
      </c>
      <c r="N535" s="33" t="str">
        <f>IF(ISNA(VLOOKUP(D535,'Base PFR table'!K:K,1,FALSE)),"NO","YES")</f>
        <v>NO</v>
      </c>
      <c r="O535" s="35" t="s">
        <v>2858</v>
      </c>
      <c r="P535" s="35" t="s">
        <v>2858</v>
      </c>
    </row>
    <row r="536" spans="3:104" ht="15" customHeight="1" x14ac:dyDescent="0.25">
      <c r="C536" s="69" t="s">
        <v>2087</v>
      </c>
      <c r="D536" s="1" t="s">
        <v>117</v>
      </c>
      <c r="E536" s="15" t="s">
        <v>1079</v>
      </c>
      <c r="F536" s="20" t="s">
        <v>1837</v>
      </c>
      <c r="G536" s="9" t="s">
        <v>1358</v>
      </c>
      <c r="H536" s="9" t="s">
        <v>1171</v>
      </c>
      <c r="I536" s="9" t="s">
        <v>2127</v>
      </c>
      <c r="J536" s="10">
        <v>39608</v>
      </c>
      <c r="K536" s="10">
        <v>45406</v>
      </c>
      <c r="L536" s="9" t="s">
        <v>1207</v>
      </c>
      <c r="M536" s="33" t="str">
        <f>IF(ISNA(VLOOKUP(D536,'[3]Table APOQUA files'!$B:$B,1,FALSE)),"NO","YES")</f>
        <v>YES</v>
      </c>
      <c r="N536" s="33" t="str">
        <f>IF(ISNA(VLOOKUP(D536,'Base PFR table'!K:K,1,FALSE)),"NO","YES")</f>
        <v>YES</v>
      </c>
      <c r="O536" s="35" t="s">
        <v>2858</v>
      </c>
      <c r="P536" s="35" t="s">
        <v>2858</v>
      </c>
    </row>
    <row r="537" spans="3:104" ht="15" customHeight="1" x14ac:dyDescent="0.25">
      <c r="C537" s="69" t="s">
        <v>2087</v>
      </c>
      <c r="D537" s="14" t="s">
        <v>465</v>
      </c>
      <c r="E537" s="15" t="s">
        <v>1080</v>
      </c>
      <c r="F537" s="22" t="s">
        <v>1838</v>
      </c>
      <c r="G537" s="9" t="s">
        <v>1810</v>
      </c>
      <c r="H537" s="9" t="s">
        <v>608</v>
      </c>
      <c r="I537" s="9" t="s">
        <v>2123</v>
      </c>
      <c r="J537" s="10">
        <v>39608</v>
      </c>
      <c r="K537" s="10">
        <v>45475</v>
      </c>
      <c r="L537" s="10" t="s">
        <v>1207</v>
      </c>
      <c r="M537" s="33" t="str">
        <f>IF(ISNA(VLOOKUP(D537,'[3]Table APOQUA files'!$B:$B,1,FALSE)),"NO","YES")</f>
        <v>YES</v>
      </c>
      <c r="N537" s="33" t="str">
        <f>IF(ISNA(VLOOKUP(D537,'Base PFR table'!K:K,1,FALSE)),"NO","YES")</f>
        <v>NO</v>
      </c>
      <c r="O537" s="35" t="s">
        <v>2858</v>
      </c>
      <c r="P537" s="35" t="s">
        <v>2858</v>
      </c>
    </row>
    <row r="538" spans="3:104" ht="15" customHeight="1" x14ac:dyDescent="0.25">
      <c r="C538" s="69" t="s">
        <v>2087</v>
      </c>
      <c r="D538" s="1" t="s">
        <v>413</v>
      </c>
      <c r="E538" s="15" t="s">
        <v>1081</v>
      </c>
      <c r="F538" s="20" t="s">
        <v>1840</v>
      </c>
      <c r="G538" s="9" t="s">
        <v>1411</v>
      </c>
      <c r="H538" s="9" t="s">
        <v>608</v>
      </c>
      <c r="I538" s="9" t="s">
        <v>2126</v>
      </c>
      <c r="J538" s="10">
        <v>39608</v>
      </c>
      <c r="K538" s="10">
        <v>45399</v>
      </c>
      <c r="L538" s="9" t="s">
        <v>1207</v>
      </c>
      <c r="M538" s="33" t="str">
        <f>IF(ISNA(VLOOKUP(D538,'[3]Table APOQUA files'!$B:$B,1,FALSE)),"NO","YES")</f>
        <v>YES</v>
      </c>
      <c r="N538" s="33" t="str">
        <f>IF(ISNA(VLOOKUP(D538,'Base PFR table'!K:K,1,FALSE)),"NO","YES")</f>
        <v>YES</v>
      </c>
      <c r="O538" s="35" t="s">
        <v>2858</v>
      </c>
      <c r="P538" s="35" t="s">
        <v>2858</v>
      </c>
    </row>
    <row r="539" spans="3:104" ht="15" customHeight="1" x14ac:dyDescent="0.25">
      <c r="C539" s="3" t="s">
        <v>2087</v>
      </c>
      <c r="D539" s="60" t="s">
        <v>205</v>
      </c>
      <c r="E539" s="56" t="s">
        <v>1082</v>
      </c>
      <c r="F539" s="57" t="s">
        <v>1841</v>
      </c>
      <c r="G539" s="58" t="s">
        <v>1842</v>
      </c>
      <c r="H539" s="58" t="s">
        <v>608</v>
      </c>
      <c r="I539" s="58" t="s">
        <v>2123</v>
      </c>
      <c r="J539" s="59">
        <v>39608</v>
      </c>
      <c r="K539" s="59">
        <v>41717</v>
      </c>
      <c r="L539" s="58" t="s">
        <v>2645</v>
      </c>
      <c r="M539" s="33" t="str">
        <f>IF(ISNA(VLOOKUP(D539,'[3]Table APOQUA files'!$B:$B,1,FALSE)),"NO","YES")</f>
        <v>YES</v>
      </c>
      <c r="N539" s="33" t="str">
        <f>IF(ISNA(VLOOKUP(D539,'Base PFR table'!K:K,1,FALSE)),"NO","YES")</f>
        <v>NO</v>
      </c>
      <c r="O539" s="3" t="s">
        <v>2857</v>
      </c>
      <c r="P539" s="3" t="s">
        <v>2857</v>
      </c>
    </row>
    <row r="540" spans="3:104" ht="15" customHeight="1" x14ac:dyDescent="0.25">
      <c r="C540" s="69" t="s">
        <v>2087</v>
      </c>
      <c r="D540" s="1" t="s">
        <v>364</v>
      </c>
      <c r="E540" s="15" t="s">
        <v>1083</v>
      </c>
      <c r="F540" s="20" t="s">
        <v>1843</v>
      </c>
      <c r="G540" s="9" t="s">
        <v>1420</v>
      </c>
      <c r="H540" s="9" t="s">
        <v>608</v>
      </c>
      <c r="I540" s="9" t="s">
        <v>2123</v>
      </c>
      <c r="J540" s="10">
        <v>39608</v>
      </c>
      <c r="K540" s="10">
        <v>43886</v>
      </c>
      <c r="L540" s="9" t="s">
        <v>2843</v>
      </c>
      <c r="M540" s="33" t="str">
        <f>IF(ISNA(VLOOKUP(D540,'[3]Table APOQUA files'!$B:$B,1,FALSE)),"NO","YES")</f>
        <v>YES</v>
      </c>
      <c r="N540" s="33" t="str">
        <f>IF(ISNA(VLOOKUP(D540,'Base PFR table'!K:K,1,FALSE)),"NO","YES")</f>
        <v>NO</v>
      </c>
      <c r="O540" s="35" t="s">
        <v>2858</v>
      </c>
      <c r="P540" s="35" t="s">
        <v>2858</v>
      </c>
    </row>
    <row r="541" spans="3:104" ht="15" customHeight="1" x14ac:dyDescent="0.25">
      <c r="C541" s="72" t="s">
        <v>2087</v>
      </c>
      <c r="D541" s="1" t="s">
        <v>226</v>
      </c>
      <c r="E541" s="15" t="s">
        <v>1084</v>
      </c>
      <c r="F541" s="20" t="s">
        <v>1844</v>
      </c>
      <c r="G541" s="9" t="s">
        <v>1845</v>
      </c>
      <c r="H541" s="9" t="s">
        <v>1170</v>
      </c>
      <c r="I541" s="9" t="s">
        <v>2133</v>
      </c>
      <c r="J541" s="10">
        <v>39608</v>
      </c>
      <c r="K541" s="10">
        <v>44319</v>
      </c>
      <c r="L541" s="9" t="s">
        <v>1209</v>
      </c>
      <c r="M541" s="33" t="str">
        <f>IF(ISNA(VLOOKUP(D541,'[3]Table APOQUA files'!$B:$B,1,FALSE)),"NO","YES")</f>
        <v>YES</v>
      </c>
      <c r="N541" s="33" t="str">
        <f>IF(ISNA(VLOOKUP(D541,'Base PFR table'!K:K,1,FALSE)),"NO","YES")</f>
        <v>NO</v>
      </c>
      <c r="O541" s="35" t="s">
        <v>2858</v>
      </c>
      <c r="P541" s="35" t="s">
        <v>2858</v>
      </c>
    </row>
    <row r="542" spans="3:104" ht="15" customHeight="1" x14ac:dyDescent="0.25">
      <c r="C542" s="72" t="s">
        <v>2087</v>
      </c>
      <c r="D542" s="1" t="s">
        <v>230</v>
      </c>
      <c r="E542" s="15" t="s">
        <v>1085</v>
      </c>
      <c r="F542" s="20" t="s">
        <v>1846</v>
      </c>
      <c r="G542" s="9" t="s">
        <v>1274</v>
      </c>
      <c r="H542" s="9" t="s">
        <v>1170</v>
      </c>
      <c r="I542" s="9" t="s">
        <v>2133</v>
      </c>
      <c r="J542" s="10">
        <v>39608</v>
      </c>
      <c r="K542" s="10">
        <v>44319</v>
      </c>
      <c r="L542" s="9" t="s">
        <v>1209</v>
      </c>
      <c r="M542" s="33" t="str">
        <f>IF(ISNA(VLOOKUP(D542,'[3]Table APOQUA files'!$B:$B,1,FALSE)),"NO","YES")</f>
        <v>YES</v>
      </c>
      <c r="N542" s="33" t="str">
        <f>IF(ISNA(VLOOKUP(D542,'Base PFR table'!K:K,1,FALSE)),"NO","YES")</f>
        <v>NO</v>
      </c>
      <c r="O542" s="35" t="s">
        <v>2858</v>
      </c>
      <c r="P542" s="35" t="s">
        <v>2858</v>
      </c>
    </row>
    <row r="543" spans="3:104" ht="15" customHeight="1" x14ac:dyDescent="0.25">
      <c r="C543" s="69" t="s">
        <v>2087</v>
      </c>
      <c r="D543" s="1" t="s">
        <v>89</v>
      </c>
      <c r="E543" s="15" t="s">
        <v>1086</v>
      </c>
      <c r="F543" s="20" t="s">
        <v>1847</v>
      </c>
      <c r="G543" s="9" t="s">
        <v>1304</v>
      </c>
      <c r="H543" s="9" t="s">
        <v>1171</v>
      </c>
      <c r="I543" s="9" t="s">
        <v>2133</v>
      </c>
      <c r="J543" s="10">
        <v>39608</v>
      </c>
      <c r="K543" s="10">
        <v>44389</v>
      </c>
      <c r="L543" s="9" t="s">
        <v>1209</v>
      </c>
      <c r="M543" s="33" t="str">
        <f>IF(ISNA(VLOOKUP(D543,'[3]Table APOQUA files'!$B:$B,1,FALSE)),"NO","YES")</f>
        <v>YES</v>
      </c>
      <c r="N543" s="33" t="str">
        <f>IF(ISNA(VLOOKUP(D543,'Base PFR table'!K:K,1,FALSE)),"NO","YES")</f>
        <v>NO</v>
      </c>
      <c r="O543" s="35" t="s">
        <v>2858</v>
      </c>
      <c r="P543" s="35" t="s">
        <v>2858</v>
      </c>
    </row>
    <row r="544" spans="3:104" ht="15" customHeight="1" x14ac:dyDescent="0.25">
      <c r="C544" s="72" t="s">
        <v>2087</v>
      </c>
      <c r="D544" s="1" t="s">
        <v>229</v>
      </c>
      <c r="E544" s="15" t="s">
        <v>1087</v>
      </c>
      <c r="F544" s="20" t="s">
        <v>1848</v>
      </c>
      <c r="G544" s="9" t="s">
        <v>1849</v>
      </c>
      <c r="H544" s="9" t="s">
        <v>1170</v>
      </c>
      <c r="I544" s="9" t="s">
        <v>2133</v>
      </c>
      <c r="J544" s="10">
        <v>39608</v>
      </c>
      <c r="K544" s="10">
        <v>45377</v>
      </c>
      <c r="L544" s="9" t="s">
        <v>1207</v>
      </c>
      <c r="M544" s="33" t="str">
        <f>IF(ISNA(VLOOKUP(D544,'[3]Table APOQUA files'!$B:$B,1,FALSE)),"NO","YES")</f>
        <v>YES</v>
      </c>
      <c r="N544" s="33" t="str">
        <f>IF(ISNA(VLOOKUP(D544,'Base PFR table'!K:K,1,FALSE)),"NO","YES")</f>
        <v>NO</v>
      </c>
      <c r="O544" s="35" t="s">
        <v>2858</v>
      </c>
      <c r="P544" s="35" t="s">
        <v>2858</v>
      </c>
    </row>
    <row r="545" spans="3:104" ht="15" customHeight="1" x14ac:dyDescent="0.25">
      <c r="C545" s="69" t="s">
        <v>2087</v>
      </c>
      <c r="D545" s="1" t="s">
        <v>203</v>
      </c>
      <c r="E545" s="15" t="s">
        <v>1088</v>
      </c>
      <c r="F545" s="20" t="s">
        <v>1850</v>
      </c>
      <c r="G545" s="9" t="s">
        <v>1851</v>
      </c>
      <c r="H545" s="9" t="s">
        <v>608</v>
      </c>
      <c r="I545" s="9" t="s">
        <v>2123</v>
      </c>
      <c r="J545" s="10">
        <v>39608</v>
      </c>
      <c r="K545" s="10">
        <v>45434</v>
      </c>
      <c r="L545" s="9" t="s">
        <v>1207</v>
      </c>
      <c r="M545" s="33" t="str">
        <f>IF(ISNA(VLOOKUP(D545,'[3]Table APOQUA files'!$B:$B,1,FALSE)),"NO","YES")</f>
        <v>YES</v>
      </c>
      <c r="N545" s="33" t="str">
        <f>IF(ISNA(VLOOKUP(D545,'Base PFR table'!K:K,1,FALSE)),"NO","YES")</f>
        <v>NO</v>
      </c>
      <c r="O545" s="35" t="s">
        <v>2858</v>
      </c>
      <c r="P545" s="35" t="s">
        <v>2858</v>
      </c>
    </row>
    <row r="546" spans="3:104" ht="15" customHeight="1" x14ac:dyDescent="0.25">
      <c r="C546" s="72" t="s">
        <v>2087</v>
      </c>
      <c r="D546" s="1" t="s">
        <v>233</v>
      </c>
      <c r="E546" s="15" t="s">
        <v>1089</v>
      </c>
      <c r="F546" s="20" t="s">
        <v>1852</v>
      </c>
      <c r="G546" s="9" t="s">
        <v>1853</v>
      </c>
      <c r="H546" s="9" t="s">
        <v>1170</v>
      </c>
      <c r="I546" s="9" t="s">
        <v>2133</v>
      </c>
      <c r="J546" s="10">
        <v>39608</v>
      </c>
      <c r="K546" s="10">
        <v>44319</v>
      </c>
      <c r="L546" s="9" t="s">
        <v>1209</v>
      </c>
      <c r="M546" s="33" t="str">
        <f>IF(ISNA(VLOOKUP(D546,'[3]Table APOQUA files'!$B:$B,1,FALSE)),"NO","YES")</f>
        <v>YES</v>
      </c>
      <c r="N546" s="33" t="str">
        <f>IF(ISNA(VLOOKUP(D546,'Base PFR table'!K:K,1,FALSE)),"NO","YES")</f>
        <v>NO</v>
      </c>
      <c r="O546" s="35" t="s">
        <v>2858</v>
      </c>
      <c r="P546" s="35" t="s">
        <v>2858</v>
      </c>
    </row>
    <row r="547" spans="3:104" ht="15" customHeight="1" x14ac:dyDescent="0.25">
      <c r="C547" s="72" t="s">
        <v>2087</v>
      </c>
      <c r="D547" s="1" t="s">
        <v>279</v>
      </c>
      <c r="E547" s="15" t="s">
        <v>1090</v>
      </c>
      <c r="F547" s="20" t="s">
        <v>1854</v>
      </c>
      <c r="G547" s="9" t="s">
        <v>1533</v>
      </c>
      <c r="H547" s="9" t="s">
        <v>599</v>
      </c>
      <c r="I547" s="9" t="s">
        <v>2124</v>
      </c>
      <c r="J547" s="10">
        <v>39608</v>
      </c>
      <c r="K547" s="10">
        <v>44847</v>
      </c>
      <c r="L547" s="9" t="s">
        <v>2843</v>
      </c>
      <c r="M547" s="33" t="str">
        <f>IF(ISNA(VLOOKUP(D547,'[3]Table APOQUA files'!$B:$B,1,FALSE)),"NO","YES")</f>
        <v>YES</v>
      </c>
      <c r="N547" s="33" t="str">
        <f>IF(ISNA(VLOOKUP(D547,'Base PFR table'!K:K,1,FALSE)),"NO","YES")</f>
        <v>NO</v>
      </c>
      <c r="O547" s="35" t="s">
        <v>2858</v>
      </c>
      <c r="P547" s="35" t="s">
        <v>2858</v>
      </c>
    </row>
    <row r="548" spans="3:104" ht="15" customHeight="1" x14ac:dyDescent="0.25">
      <c r="C548" s="72" t="s">
        <v>2087</v>
      </c>
      <c r="D548" s="1" t="s">
        <v>310</v>
      </c>
      <c r="E548" s="15" t="s">
        <v>1091</v>
      </c>
      <c r="F548" s="20" t="s">
        <v>1855</v>
      </c>
      <c r="G548" s="9" t="s">
        <v>1281</v>
      </c>
      <c r="H548" s="9" t="s">
        <v>608</v>
      </c>
      <c r="I548" s="9" t="s">
        <v>2126</v>
      </c>
      <c r="J548" s="10">
        <v>39608</v>
      </c>
      <c r="K548" s="10">
        <v>45035</v>
      </c>
      <c r="L548" s="9" t="s">
        <v>1209</v>
      </c>
      <c r="M548" s="33" t="str">
        <f>IF(ISNA(VLOOKUP(D548,'[3]Table APOQUA files'!$B:$B,1,FALSE)),"NO","YES")</f>
        <v>YES</v>
      </c>
      <c r="N548" s="33" t="str">
        <f>IF(ISNA(VLOOKUP(D548,'Base PFR table'!K:K,1,FALSE)),"NO","YES")</f>
        <v>NO</v>
      </c>
      <c r="O548" s="35" t="s">
        <v>2858</v>
      </c>
      <c r="P548" s="35" t="s">
        <v>2858</v>
      </c>
    </row>
    <row r="549" spans="3:104" s="18" customFormat="1" ht="15" customHeight="1" x14ac:dyDescent="0.25">
      <c r="C549" s="18" t="s">
        <v>2087</v>
      </c>
      <c r="D549" s="14" t="s">
        <v>278</v>
      </c>
      <c r="E549" s="15" t="s">
        <v>1092</v>
      </c>
      <c r="F549" s="22" t="s">
        <v>1856</v>
      </c>
      <c r="G549" s="16" t="s">
        <v>1266</v>
      </c>
      <c r="H549" s="16" t="s">
        <v>599</v>
      </c>
      <c r="I549" s="16" t="s">
        <v>2057</v>
      </c>
      <c r="J549" s="17">
        <v>39608</v>
      </c>
      <c r="K549" s="17">
        <v>41015</v>
      </c>
      <c r="L549" s="9" t="s">
        <v>2843</v>
      </c>
      <c r="M549" s="55" t="str">
        <f>IF(ISNA(VLOOKUP(D549,'[3]Table APOQUA files'!$B:$B,1,FALSE)),"NO","YES")</f>
        <v>YES</v>
      </c>
      <c r="N549" s="55" t="str">
        <f>IF(ISNA(VLOOKUP(D549,'Base PFR table'!K:K,1,FALSE)),"NO","YES")</f>
        <v>NO</v>
      </c>
      <c r="O549" s="35" t="s">
        <v>2858</v>
      </c>
      <c r="P549" s="35" t="s">
        <v>2858</v>
      </c>
    </row>
    <row r="550" spans="3:104" ht="15" customHeight="1" x14ac:dyDescent="0.25">
      <c r="C550" s="72" t="s">
        <v>2087</v>
      </c>
      <c r="D550" s="1" t="s">
        <v>451</v>
      </c>
      <c r="E550" s="15" t="s">
        <v>1093</v>
      </c>
      <c r="F550" s="20" t="s">
        <v>1857</v>
      </c>
      <c r="G550" s="9" t="s">
        <v>1300</v>
      </c>
      <c r="H550" s="9" t="s">
        <v>1178</v>
      </c>
      <c r="I550" s="9" t="s">
        <v>1186</v>
      </c>
      <c r="J550" s="10">
        <v>39608</v>
      </c>
      <c r="K550" s="10">
        <v>45222</v>
      </c>
      <c r="L550" s="9" t="s">
        <v>1209</v>
      </c>
      <c r="M550" s="33" t="str">
        <f>IF(ISNA(VLOOKUP(D550,'[3]Table APOQUA files'!$B:$B,1,FALSE)),"NO","YES")</f>
        <v>YES</v>
      </c>
      <c r="N550" s="33" t="str">
        <f>IF(ISNA(VLOOKUP(D550,'Base PFR table'!K:K,1,FALSE)),"NO","YES")</f>
        <v>NO</v>
      </c>
      <c r="O550" s="35" t="s">
        <v>2858</v>
      </c>
      <c r="P550" s="35" t="s">
        <v>2858</v>
      </c>
    </row>
    <row r="551" spans="3:104" ht="15" customHeight="1" x14ac:dyDescent="0.25">
      <c r="C551" s="3" t="s">
        <v>2087</v>
      </c>
      <c r="D551" s="60" t="s">
        <v>68</v>
      </c>
      <c r="E551" s="56" t="s">
        <v>1094</v>
      </c>
      <c r="F551" s="57" t="s">
        <v>1208</v>
      </c>
      <c r="G551" s="58" t="s">
        <v>1331</v>
      </c>
      <c r="H551" s="58" t="s">
        <v>608</v>
      </c>
      <c r="I551" s="58" t="s">
        <v>2123</v>
      </c>
      <c r="J551" s="59">
        <v>39608</v>
      </c>
      <c r="K551" s="59">
        <v>40913</v>
      </c>
      <c r="L551" s="58" t="s">
        <v>2645</v>
      </c>
      <c r="M551" s="33" t="str">
        <f>IF(ISNA(VLOOKUP(D551,'[3]Table APOQUA files'!$B:$B,1,FALSE)),"NO","YES")</f>
        <v>YES</v>
      </c>
      <c r="N551" s="33" t="str">
        <f>IF(ISNA(VLOOKUP(D551,'Base PFR table'!K:K,1,FALSE)),"NO","YES")</f>
        <v>NO</v>
      </c>
      <c r="O551" s="3" t="s">
        <v>2857</v>
      </c>
      <c r="P551" s="3" t="s">
        <v>2857</v>
      </c>
    </row>
    <row r="552" spans="3:104" s="70" customFormat="1" ht="15" customHeight="1" x14ac:dyDescent="0.25">
      <c r="C552" s="70" t="s">
        <v>2087</v>
      </c>
      <c r="D552" s="14" t="s">
        <v>304</v>
      </c>
      <c r="E552" s="15" t="s">
        <v>1095</v>
      </c>
      <c r="F552" s="22" t="s">
        <v>1858</v>
      </c>
      <c r="G552" s="16" t="s">
        <v>1281</v>
      </c>
      <c r="H552" s="16" t="s">
        <v>608</v>
      </c>
      <c r="I552" s="16" t="s">
        <v>2122</v>
      </c>
      <c r="J552" s="17">
        <v>39608</v>
      </c>
      <c r="K552" s="17">
        <v>45222</v>
      </c>
      <c r="L552" s="16" t="s">
        <v>2843</v>
      </c>
      <c r="M552" s="55" t="str">
        <f>IF(ISNA(VLOOKUP(D552,'[3]Table APOQUA files'!$B:$B,1,FALSE)),"NO","YES")</f>
        <v>YES</v>
      </c>
      <c r="N552" s="55" t="str">
        <f>IF(ISNA(VLOOKUP(D552,'Base PFR table'!K:K,1,FALSE)),"NO","YES")</f>
        <v>NO</v>
      </c>
      <c r="O552" s="35" t="s">
        <v>2858</v>
      </c>
      <c r="P552" s="35" t="s">
        <v>2858</v>
      </c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  <c r="CV552" s="18"/>
      <c r="CW552" s="18"/>
      <c r="CX552" s="18"/>
      <c r="CY552" s="18"/>
      <c r="CZ552" s="18"/>
    </row>
    <row r="553" spans="3:104" s="70" customFormat="1" ht="15" customHeight="1" x14ac:dyDescent="0.25">
      <c r="C553" s="70" t="s">
        <v>2087</v>
      </c>
      <c r="D553" s="14" t="s">
        <v>280</v>
      </c>
      <c r="E553" s="15" t="s">
        <v>1096</v>
      </c>
      <c r="F553" s="22" t="s">
        <v>1859</v>
      </c>
      <c r="G553" s="16" t="s">
        <v>1266</v>
      </c>
      <c r="H553" s="16" t="s">
        <v>599</v>
      </c>
      <c r="I553" s="16" t="s">
        <v>2057</v>
      </c>
      <c r="J553" s="17">
        <v>39608</v>
      </c>
      <c r="K553" s="17">
        <v>45222</v>
      </c>
      <c r="L553" s="16" t="s">
        <v>2843</v>
      </c>
      <c r="M553" s="55" t="str">
        <f>IF(ISNA(VLOOKUP(D553,'[3]Table APOQUA files'!$B:$B,1,FALSE)),"NO","YES")</f>
        <v>YES</v>
      </c>
      <c r="N553" s="55" t="str">
        <f>IF(ISNA(VLOOKUP(D553,'Base PFR table'!K:K,1,FALSE)),"NO","YES")</f>
        <v>NO</v>
      </c>
      <c r="O553" s="35" t="s">
        <v>2858</v>
      </c>
      <c r="P553" s="35" t="s">
        <v>2858</v>
      </c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  <c r="CU553" s="18"/>
      <c r="CV553" s="18"/>
      <c r="CW553" s="18"/>
      <c r="CX553" s="18"/>
      <c r="CY553" s="18"/>
      <c r="CZ553" s="18"/>
    </row>
    <row r="554" spans="3:104" ht="15" customHeight="1" x14ac:dyDescent="0.25">
      <c r="C554" s="72" t="s">
        <v>2087</v>
      </c>
      <c r="D554" s="14" t="s">
        <v>276</v>
      </c>
      <c r="E554" s="15" t="s">
        <v>2824</v>
      </c>
      <c r="F554" s="22" t="s">
        <v>2825</v>
      </c>
      <c r="G554" s="9" t="s">
        <v>1266</v>
      </c>
      <c r="H554" s="9" t="s">
        <v>599</v>
      </c>
      <c r="I554" s="9" t="s">
        <v>2057</v>
      </c>
      <c r="J554" s="10">
        <v>39608</v>
      </c>
      <c r="K554" s="10">
        <v>45475</v>
      </c>
      <c r="L554" s="9" t="s">
        <v>1207</v>
      </c>
      <c r="M554" s="33" t="str">
        <f>IF(ISNA(VLOOKUP(D554,'[3]Table APOQUA files'!$B:$B,1,FALSE)),"NO","YES")</f>
        <v>YES</v>
      </c>
      <c r="N554" s="33" t="str">
        <f>IF(ISNA(VLOOKUP(D554,'Base PFR table'!K:K,1,FALSE)),"NO","YES")</f>
        <v>NO</v>
      </c>
      <c r="O554" s="35" t="s">
        <v>2858</v>
      </c>
      <c r="P554" s="35" t="s">
        <v>2858</v>
      </c>
    </row>
    <row r="555" spans="3:104" ht="15" customHeight="1" x14ac:dyDescent="0.25">
      <c r="C555" s="69" t="s">
        <v>2087</v>
      </c>
      <c r="D555" s="1" t="s">
        <v>161</v>
      </c>
      <c r="E555" s="15" t="s">
        <v>1097</v>
      </c>
      <c r="F555" s="20" t="s">
        <v>1861</v>
      </c>
      <c r="G555" s="9" t="s">
        <v>1438</v>
      </c>
      <c r="H555" s="9" t="s">
        <v>599</v>
      </c>
      <c r="I555" s="9" t="s">
        <v>2124</v>
      </c>
      <c r="J555" s="10">
        <v>39608</v>
      </c>
      <c r="K555" s="10">
        <v>44691</v>
      </c>
      <c r="L555" s="9" t="s">
        <v>2843</v>
      </c>
      <c r="M555" s="33" t="str">
        <f>IF(ISNA(VLOOKUP(D555,'[3]Table APOQUA files'!$B:$B,1,FALSE)),"NO","YES")</f>
        <v>YES</v>
      </c>
      <c r="N555" s="33" t="str">
        <f>IF(ISNA(VLOOKUP(D555,'Base PFR table'!K:K,1,FALSE)),"NO","YES")</f>
        <v>NO</v>
      </c>
      <c r="O555" s="35" t="s">
        <v>2858</v>
      </c>
      <c r="P555" s="35" t="s">
        <v>2858</v>
      </c>
    </row>
    <row r="556" spans="3:104" ht="15" customHeight="1" x14ac:dyDescent="0.25">
      <c r="C556" s="72" t="s">
        <v>2087</v>
      </c>
      <c r="D556" s="1" t="s">
        <v>464</v>
      </c>
      <c r="E556" s="15" t="s">
        <v>2826</v>
      </c>
      <c r="F556" s="20" t="s">
        <v>2827</v>
      </c>
      <c r="G556" s="9" t="s">
        <v>1863</v>
      </c>
      <c r="H556" s="9" t="s">
        <v>608</v>
      </c>
      <c r="I556" s="9" t="s">
        <v>2123</v>
      </c>
      <c r="J556" s="10">
        <v>39608</v>
      </c>
      <c r="K556" s="10">
        <v>44715</v>
      </c>
      <c r="L556" s="9" t="s">
        <v>2843</v>
      </c>
      <c r="M556" s="33" t="str">
        <f>IF(ISNA(VLOOKUP(D556,'[3]Table APOQUA files'!$B:$B,1,FALSE)),"NO","YES")</f>
        <v>YES</v>
      </c>
      <c r="N556" s="33" t="str">
        <f>IF(ISNA(VLOOKUP(D556,'Base PFR table'!K:K,1,FALSE)),"NO","YES")</f>
        <v>NO</v>
      </c>
      <c r="O556" s="35" t="s">
        <v>2858</v>
      </c>
      <c r="P556" s="35" t="s">
        <v>2858</v>
      </c>
    </row>
    <row r="557" spans="3:104" ht="15" customHeight="1" x14ac:dyDescent="0.25">
      <c r="C557" s="69" t="s">
        <v>2087</v>
      </c>
      <c r="D557" s="1" t="s">
        <v>441</v>
      </c>
      <c r="E557" s="15" t="s">
        <v>1098</v>
      </c>
      <c r="F557" s="20" t="s">
        <v>1864</v>
      </c>
      <c r="G557" s="9" t="s">
        <v>1865</v>
      </c>
      <c r="H557" s="9" t="s">
        <v>608</v>
      </c>
      <c r="I557" s="9" t="s">
        <v>2124</v>
      </c>
      <c r="J557" s="10">
        <v>39608</v>
      </c>
      <c r="K557" s="10">
        <v>45168</v>
      </c>
      <c r="L557" s="9" t="s">
        <v>1207</v>
      </c>
      <c r="M557" s="33" t="str">
        <f>IF(ISNA(VLOOKUP(D557,'[3]Table APOQUA files'!$B:$B,1,FALSE)),"NO","YES")</f>
        <v>YES</v>
      </c>
      <c r="N557" s="33" t="str">
        <f>IF(ISNA(VLOOKUP(D557,'Base PFR table'!K:K,1,FALSE)),"NO","YES")</f>
        <v>NO</v>
      </c>
      <c r="O557" s="35" t="s">
        <v>2858</v>
      </c>
      <c r="P557" s="35" t="s">
        <v>2858</v>
      </c>
    </row>
    <row r="558" spans="3:104" ht="15" customHeight="1" x14ac:dyDescent="0.25">
      <c r="C558" s="71" t="s">
        <v>2087</v>
      </c>
      <c r="D558" s="1" t="s">
        <v>12</v>
      </c>
      <c r="E558" s="15" t="s">
        <v>1099</v>
      </c>
      <c r="F558" s="20" t="s">
        <v>1866</v>
      </c>
      <c r="G558" s="9" t="s">
        <v>1425</v>
      </c>
      <c r="H558" s="9" t="s">
        <v>612</v>
      </c>
      <c r="I558" s="9" t="s">
        <v>2127</v>
      </c>
      <c r="J558" s="10">
        <v>39608</v>
      </c>
      <c r="K558" s="10">
        <v>44763</v>
      </c>
      <c r="L558" s="9" t="s">
        <v>2843</v>
      </c>
      <c r="M558" s="33" t="str">
        <f>IF(ISNA(VLOOKUP(D558,'[3]Table APOQUA files'!$B:$B,1,FALSE)),"NO","YES")</f>
        <v>YES</v>
      </c>
      <c r="N558" s="33" t="str">
        <f>IF(ISNA(VLOOKUP(D558,'Base PFR table'!K:K,1,FALSE)),"NO","YES")</f>
        <v>NO</v>
      </c>
      <c r="O558" s="35" t="s">
        <v>2858</v>
      </c>
      <c r="P558" s="35" t="s">
        <v>2858</v>
      </c>
    </row>
    <row r="559" spans="3:104" ht="15" customHeight="1" x14ac:dyDescent="0.25">
      <c r="C559" s="72" t="s">
        <v>2087</v>
      </c>
      <c r="D559" s="1" t="s">
        <v>263</v>
      </c>
      <c r="E559" s="93" t="s">
        <v>1100</v>
      </c>
      <c r="F559" s="94" t="s">
        <v>2828</v>
      </c>
      <c r="G559" s="9" t="s">
        <v>1403</v>
      </c>
      <c r="H559" s="9" t="s">
        <v>599</v>
      </c>
      <c r="I559" s="9" t="s">
        <v>2057</v>
      </c>
      <c r="J559" s="10">
        <v>39608</v>
      </c>
      <c r="K559" s="10">
        <v>45222</v>
      </c>
      <c r="L559" s="9" t="s">
        <v>1209</v>
      </c>
      <c r="M559" s="33" t="str">
        <f>IF(ISNA(VLOOKUP(D559,'[3]Table APOQUA files'!$B:$B,1,FALSE)),"NO","YES")</f>
        <v>YES</v>
      </c>
      <c r="N559" s="33" t="str">
        <f>IF(ISNA(VLOOKUP(D559,'Base PFR table'!K:K,1,FALSE)),"NO","YES")</f>
        <v>NO</v>
      </c>
      <c r="O559" s="35" t="s">
        <v>2858</v>
      </c>
      <c r="P559" s="35" t="s">
        <v>2858</v>
      </c>
    </row>
    <row r="560" spans="3:104" ht="15" customHeight="1" x14ac:dyDescent="0.25">
      <c r="C560" s="72" t="s">
        <v>2087</v>
      </c>
      <c r="D560" s="1" t="s">
        <v>277</v>
      </c>
      <c r="E560" s="15" t="s">
        <v>1101</v>
      </c>
      <c r="F560" s="20" t="s">
        <v>1868</v>
      </c>
      <c r="G560" s="9" t="s">
        <v>1266</v>
      </c>
      <c r="H560" s="9" t="s">
        <v>599</v>
      </c>
      <c r="I560" s="9" t="s">
        <v>2057</v>
      </c>
      <c r="J560" s="10">
        <v>39608</v>
      </c>
      <c r="K560" s="10">
        <v>44880</v>
      </c>
      <c r="L560" s="9" t="s">
        <v>2843</v>
      </c>
      <c r="M560" s="33" t="str">
        <f>IF(ISNA(VLOOKUP(D560,'[3]Table APOQUA files'!$B:$B,1,FALSE)),"NO","YES")</f>
        <v>YES</v>
      </c>
      <c r="N560" s="33" t="str">
        <f>IF(ISNA(VLOOKUP(D560,'Base PFR table'!K:K,1,FALSE)),"NO","YES")</f>
        <v>NO</v>
      </c>
      <c r="O560" s="35" t="s">
        <v>2858</v>
      </c>
      <c r="P560" s="35" t="s">
        <v>2858</v>
      </c>
    </row>
    <row r="561" spans="3:16" ht="15" customHeight="1" x14ac:dyDescent="0.25">
      <c r="C561" s="72" t="s">
        <v>2087</v>
      </c>
      <c r="D561" s="14" t="s">
        <v>365</v>
      </c>
      <c r="E561" s="15" t="s">
        <v>1102</v>
      </c>
      <c r="F561" s="22" t="s">
        <v>1869</v>
      </c>
      <c r="G561" s="9" t="s">
        <v>1870</v>
      </c>
      <c r="H561" s="9" t="s">
        <v>599</v>
      </c>
      <c r="I561" s="9" t="s">
        <v>2124</v>
      </c>
      <c r="J561" s="10">
        <v>39608</v>
      </c>
      <c r="K561" s="10">
        <v>45611</v>
      </c>
      <c r="L561" s="9" t="s">
        <v>1207</v>
      </c>
      <c r="M561" s="33" t="str">
        <f>IF(ISNA(VLOOKUP(D561,'[3]Table APOQUA files'!$B:$B,1,FALSE)),"NO","YES")</f>
        <v>YES</v>
      </c>
      <c r="N561" s="33" t="str">
        <f>IF(ISNA(VLOOKUP(D561,'Base PFR table'!K:K,1,FALSE)),"NO","YES")</f>
        <v>NO</v>
      </c>
      <c r="O561" s="35" t="s">
        <v>2858</v>
      </c>
      <c r="P561" s="35" t="s">
        <v>2858</v>
      </c>
    </row>
    <row r="562" spans="3:16" ht="15" customHeight="1" x14ac:dyDescent="0.25">
      <c r="C562" s="72" t="s">
        <v>2087</v>
      </c>
      <c r="D562" s="1" t="s">
        <v>222</v>
      </c>
      <c r="E562" s="15" t="s">
        <v>1103</v>
      </c>
      <c r="F562" s="20" t="s">
        <v>1871</v>
      </c>
      <c r="G562" s="9" t="s">
        <v>1872</v>
      </c>
      <c r="H562" s="9" t="s">
        <v>608</v>
      </c>
      <c r="I562" s="9" t="s">
        <v>2124</v>
      </c>
      <c r="J562" s="10">
        <v>39608</v>
      </c>
      <c r="K562" s="10">
        <v>44319</v>
      </c>
      <c r="L562" s="9" t="s">
        <v>1209</v>
      </c>
      <c r="M562" s="33" t="str">
        <f>IF(ISNA(VLOOKUP(D562,'[3]Table APOQUA files'!$B:$B,1,FALSE)),"NO","YES")</f>
        <v>YES</v>
      </c>
      <c r="N562" s="33" t="str">
        <f>IF(ISNA(VLOOKUP(D562,'Base PFR table'!K:K,1,FALSE)),"NO","YES")</f>
        <v>NO</v>
      </c>
      <c r="O562" s="35" t="s">
        <v>2858</v>
      </c>
      <c r="P562" s="35" t="s">
        <v>2858</v>
      </c>
    </row>
    <row r="563" spans="3:16" ht="15" customHeight="1" x14ac:dyDescent="0.25">
      <c r="C563" s="69" t="s">
        <v>2087</v>
      </c>
      <c r="D563" s="1" t="s">
        <v>309</v>
      </c>
      <c r="E563" s="15" t="s">
        <v>1104</v>
      </c>
      <c r="F563" s="20" t="s">
        <v>1873</v>
      </c>
      <c r="G563" s="9" t="s">
        <v>1283</v>
      </c>
      <c r="H563" s="9" t="s">
        <v>608</v>
      </c>
      <c r="I563" s="9" t="s">
        <v>2123</v>
      </c>
      <c r="J563" s="10">
        <v>39608</v>
      </c>
      <c r="K563" s="10">
        <v>45083</v>
      </c>
      <c r="L563" s="9" t="s">
        <v>1207</v>
      </c>
      <c r="M563" s="33" t="str">
        <f>IF(ISNA(VLOOKUP(D563,'[3]Table APOQUA files'!$B:$B,1,FALSE)),"NO","YES")</f>
        <v>YES</v>
      </c>
      <c r="N563" s="33" t="str">
        <f>IF(ISNA(VLOOKUP(D563,'Base PFR table'!K:K,1,FALSE)),"NO","YES")</f>
        <v>NO</v>
      </c>
      <c r="O563" s="35" t="s">
        <v>2858</v>
      </c>
      <c r="P563" s="35" t="s">
        <v>2858</v>
      </c>
    </row>
    <row r="564" spans="3:16" ht="15" customHeight="1" x14ac:dyDescent="0.25">
      <c r="C564" s="3" t="s">
        <v>2087</v>
      </c>
      <c r="D564" s="60" t="s">
        <v>209</v>
      </c>
      <c r="E564" s="56" t="s">
        <v>1105</v>
      </c>
      <c r="F564" s="57" t="s">
        <v>1208</v>
      </c>
      <c r="G564" s="58" t="s">
        <v>1792</v>
      </c>
      <c r="H564" s="58" t="s">
        <v>1177</v>
      </c>
      <c r="I564" s="58" t="s">
        <v>2124</v>
      </c>
      <c r="J564" s="59">
        <v>39608</v>
      </c>
      <c r="K564" s="59">
        <v>39800</v>
      </c>
      <c r="L564" s="58" t="s">
        <v>2645</v>
      </c>
      <c r="M564" s="33" t="str">
        <f>IF(ISNA(VLOOKUP(D564,'[3]Table APOQUA files'!$B:$B,1,FALSE)),"NO","YES")</f>
        <v>YES</v>
      </c>
      <c r="N564" s="33" t="str">
        <f>IF(ISNA(VLOOKUP(D564,'Base PFR table'!K:K,1,FALSE)),"NO","YES")</f>
        <v>NO</v>
      </c>
      <c r="O564" s="3" t="s">
        <v>2857</v>
      </c>
      <c r="P564" s="3" t="s">
        <v>2857</v>
      </c>
    </row>
    <row r="565" spans="3:16" ht="15" customHeight="1" x14ac:dyDescent="0.25">
      <c r="C565" s="69" t="s">
        <v>2087</v>
      </c>
      <c r="D565" s="1" t="s">
        <v>241</v>
      </c>
      <c r="E565" s="15" t="s">
        <v>1106</v>
      </c>
      <c r="F565" s="20" t="s">
        <v>1874</v>
      </c>
      <c r="G565" s="9" t="s">
        <v>1875</v>
      </c>
      <c r="H565" s="9" t="s">
        <v>593</v>
      </c>
      <c r="I565" s="9" t="s">
        <v>2126</v>
      </c>
      <c r="J565" s="10">
        <v>39608</v>
      </c>
      <c r="K565" s="10">
        <v>45686</v>
      </c>
      <c r="L565" s="9" t="s">
        <v>1207</v>
      </c>
      <c r="M565" s="33" t="str">
        <f>IF(ISNA(VLOOKUP(D565,'[3]Table APOQUA files'!$B:$B,1,FALSE)),"NO","YES")</f>
        <v>YES</v>
      </c>
      <c r="N565" s="33" t="str">
        <f>IF(ISNA(VLOOKUP(D565,'Base PFR table'!K:K,1,FALSE)),"NO","YES")</f>
        <v>NO</v>
      </c>
      <c r="O565" s="35" t="s">
        <v>2858</v>
      </c>
      <c r="P565" s="35" t="s">
        <v>2858</v>
      </c>
    </row>
    <row r="566" spans="3:16" ht="15" customHeight="1" x14ac:dyDescent="0.25">
      <c r="C566" s="69" t="s">
        <v>2087</v>
      </c>
      <c r="D566" s="1" t="s">
        <v>358</v>
      </c>
      <c r="E566" s="15" t="s">
        <v>1107</v>
      </c>
      <c r="F566" s="20" t="s">
        <v>1876</v>
      </c>
      <c r="G566" s="9" t="s">
        <v>1877</v>
      </c>
      <c r="H566" s="9" t="s">
        <v>1169</v>
      </c>
      <c r="I566" s="9" t="s">
        <v>2124</v>
      </c>
      <c r="J566" s="10">
        <v>39608</v>
      </c>
      <c r="K566" s="10">
        <v>42933</v>
      </c>
      <c r="L566" s="9" t="s">
        <v>2843</v>
      </c>
      <c r="M566" s="33" t="str">
        <f>IF(ISNA(VLOOKUP(D566,'[3]Table APOQUA files'!$B:$B,1,FALSE)),"NO","YES")</f>
        <v>YES</v>
      </c>
      <c r="N566" s="33" t="str">
        <f>IF(ISNA(VLOOKUP(D566,'Base PFR table'!K:K,1,FALSE)),"NO","YES")</f>
        <v>NO</v>
      </c>
      <c r="O566" s="35" t="s">
        <v>2858</v>
      </c>
      <c r="P566" s="35" t="s">
        <v>2858</v>
      </c>
    </row>
    <row r="567" spans="3:16" ht="15" customHeight="1" x14ac:dyDescent="0.25">
      <c r="C567" s="69" t="s">
        <v>2087</v>
      </c>
      <c r="D567" s="1" t="s">
        <v>354</v>
      </c>
      <c r="E567" s="15" t="s">
        <v>1108</v>
      </c>
      <c r="F567" s="20" t="s">
        <v>1878</v>
      </c>
      <c r="G567" s="9" t="s">
        <v>1511</v>
      </c>
      <c r="H567" s="9" t="s">
        <v>599</v>
      </c>
      <c r="I567" s="9" t="s">
        <v>2124</v>
      </c>
      <c r="J567" s="10">
        <v>39608</v>
      </c>
      <c r="K567" s="10">
        <v>45425</v>
      </c>
      <c r="L567" s="9" t="s">
        <v>1207</v>
      </c>
      <c r="M567" s="33" t="str">
        <f>IF(ISNA(VLOOKUP(D567,'[3]Table APOQUA files'!$B:$B,1,FALSE)),"NO","YES")</f>
        <v>YES</v>
      </c>
      <c r="N567" s="33" t="str">
        <f>IF(ISNA(VLOOKUP(D567,'Base PFR table'!K:K,1,FALSE)),"NO","YES")</f>
        <v>NO</v>
      </c>
      <c r="O567" s="35" t="s">
        <v>2858</v>
      </c>
      <c r="P567" s="35" t="s">
        <v>2858</v>
      </c>
    </row>
    <row r="568" spans="3:16" ht="15" customHeight="1" x14ac:dyDescent="0.25">
      <c r="C568" s="69" t="s">
        <v>2087</v>
      </c>
      <c r="D568" s="1" t="s">
        <v>18</v>
      </c>
      <c r="E568" s="15" t="s">
        <v>2829</v>
      </c>
      <c r="F568" s="20" t="s">
        <v>2830</v>
      </c>
      <c r="G568" s="9" t="s">
        <v>1294</v>
      </c>
      <c r="H568" s="9" t="s">
        <v>1172</v>
      </c>
      <c r="I568" s="9" t="s">
        <v>2130</v>
      </c>
      <c r="J568" s="10">
        <v>39608</v>
      </c>
      <c r="K568" s="10">
        <v>45222</v>
      </c>
      <c r="L568" s="9" t="s">
        <v>1209</v>
      </c>
      <c r="M568" s="33" t="str">
        <f>IF(ISNA(VLOOKUP(D568,'[3]Table APOQUA files'!$B:$B,1,FALSE)),"NO","YES")</f>
        <v>YES</v>
      </c>
      <c r="N568" s="33" t="str">
        <f>IF(ISNA(VLOOKUP(D568,'Base PFR table'!K:K,1,FALSE)),"NO","YES")</f>
        <v>NO</v>
      </c>
      <c r="O568" s="35" t="s">
        <v>2858</v>
      </c>
      <c r="P568" s="35" t="s">
        <v>2858</v>
      </c>
    </row>
    <row r="569" spans="3:16" ht="15" customHeight="1" x14ac:dyDescent="0.25">
      <c r="C569" s="3" t="s">
        <v>2087</v>
      </c>
      <c r="D569" s="60" t="s">
        <v>167</v>
      </c>
      <c r="E569" s="56" t="s">
        <v>1109</v>
      </c>
      <c r="F569" s="57" t="s">
        <v>1880</v>
      </c>
      <c r="G569" s="58" t="s">
        <v>1863</v>
      </c>
      <c r="H569" s="58" t="s">
        <v>608</v>
      </c>
      <c r="I569" s="58" t="s">
        <v>2123</v>
      </c>
      <c r="J569" s="59">
        <v>39608</v>
      </c>
      <c r="K569" s="59">
        <v>41325</v>
      </c>
      <c r="L569" s="58" t="s">
        <v>2645</v>
      </c>
      <c r="M569" s="33" t="str">
        <f>IF(ISNA(VLOOKUP(D569,'[3]Table APOQUA files'!$B:$B,1,FALSE)),"NO","YES")</f>
        <v>YES</v>
      </c>
      <c r="N569" s="33" t="str">
        <f>IF(ISNA(VLOOKUP(D569,'Base PFR table'!K:K,1,FALSE)),"NO","YES")</f>
        <v>NO</v>
      </c>
      <c r="O569" s="3" t="s">
        <v>2857</v>
      </c>
      <c r="P569" s="3" t="s">
        <v>2857</v>
      </c>
    </row>
    <row r="570" spans="3:16" ht="15" customHeight="1" x14ac:dyDescent="0.25">
      <c r="C570" s="69" t="s">
        <v>2087</v>
      </c>
      <c r="D570" s="1" t="s">
        <v>356</v>
      </c>
      <c r="E570" s="15" t="s">
        <v>1110</v>
      </c>
      <c r="F570" s="20" t="s">
        <v>1881</v>
      </c>
      <c r="G570" s="9" t="s">
        <v>1294</v>
      </c>
      <c r="H570" s="9" t="s">
        <v>1172</v>
      </c>
      <c r="I570" s="9" t="s">
        <v>2129</v>
      </c>
      <c r="J570" s="10">
        <v>39608</v>
      </c>
      <c r="K570" s="10">
        <v>44335</v>
      </c>
      <c r="L570" s="9" t="s">
        <v>1207</v>
      </c>
      <c r="M570" s="33" t="str">
        <f>IF(ISNA(VLOOKUP(D570,'[3]Table APOQUA files'!$B:$B,1,FALSE)),"NO","YES")</f>
        <v>YES</v>
      </c>
      <c r="N570" s="33" t="str">
        <f>IF(ISNA(VLOOKUP(D570,'Base PFR table'!K:K,1,FALSE)),"NO","YES")</f>
        <v>NO</v>
      </c>
      <c r="O570" s="35" t="s">
        <v>2858</v>
      </c>
      <c r="P570" s="35" t="s">
        <v>2858</v>
      </c>
    </row>
    <row r="571" spans="3:16" ht="15" customHeight="1" x14ac:dyDescent="0.25">
      <c r="C571" s="72" t="s">
        <v>2087</v>
      </c>
      <c r="D571" s="1" t="s">
        <v>330</v>
      </c>
      <c r="E571" s="15" t="s">
        <v>1111</v>
      </c>
      <c r="F571" s="20" t="s">
        <v>1882</v>
      </c>
      <c r="G571" s="9" t="s">
        <v>1883</v>
      </c>
      <c r="H571" s="9" t="s">
        <v>608</v>
      </c>
      <c r="I571" s="9" t="s">
        <v>2124</v>
      </c>
      <c r="J571" s="10">
        <v>39608</v>
      </c>
      <c r="K571" s="10">
        <v>42706</v>
      </c>
      <c r="L571" s="9" t="s">
        <v>2843</v>
      </c>
      <c r="M571" s="33" t="str">
        <f>IF(ISNA(VLOOKUP(D571,'[3]Table APOQUA files'!$B:$B,1,FALSE)),"NO","YES")</f>
        <v>YES</v>
      </c>
      <c r="N571" s="33" t="str">
        <f>IF(ISNA(VLOOKUP(D571,'Base PFR table'!K:K,1,FALSE)),"NO","YES")</f>
        <v>NO</v>
      </c>
      <c r="O571" s="35" t="s">
        <v>2858</v>
      </c>
      <c r="P571" s="35" t="s">
        <v>2858</v>
      </c>
    </row>
    <row r="572" spans="3:16" ht="15" customHeight="1" x14ac:dyDescent="0.25">
      <c r="C572" s="72" t="s">
        <v>2087</v>
      </c>
      <c r="D572" s="14" t="s">
        <v>285</v>
      </c>
      <c r="E572" s="15" t="s">
        <v>1112</v>
      </c>
      <c r="F572" s="22" t="s">
        <v>1884</v>
      </c>
      <c r="G572" s="9" t="s">
        <v>1418</v>
      </c>
      <c r="H572" s="9" t="s">
        <v>599</v>
      </c>
      <c r="I572" s="9" t="s">
        <v>2057</v>
      </c>
      <c r="J572" s="10">
        <v>39608</v>
      </c>
      <c r="K572" s="10">
        <v>45572</v>
      </c>
      <c r="L572" s="9" t="s">
        <v>1207</v>
      </c>
      <c r="M572" s="33" t="str">
        <f>IF(ISNA(VLOOKUP(D572,'[3]Table APOQUA files'!$B:$B,1,FALSE)),"NO","YES")</f>
        <v>YES</v>
      </c>
      <c r="N572" s="33" t="str">
        <f>IF(ISNA(VLOOKUP(D572,'Base PFR table'!K:K,1,FALSE)),"NO","YES")</f>
        <v>NO</v>
      </c>
      <c r="O572" s="35" t="s">
        <v>2858</v>
      </c>
      <c r="P572" s="35" t="s">
        <v>2858</v>
      </c>
    </row>
    <row r="573" spans="3:16" ht="15" customHeight="1" x14ac:dyDescent="0.25">
      <c r="C573" s="72" t="s">
        <v>2087</v>
      </c>
      <c r="D573" s="1" t="s">
        <v>270</v>
      </c>
      <c r="E573" s="15" t="s">
        <v>1113</v>
      </c>
      <c r="F573" s="20" t="s">
        <v>2317</v>
      </c>
      <c r="G573" s="9" t="s">
        <v>1411</v>
      </c>
      <c r="H573" s="9" t="s">
        <v>608</v>
      </c>
      <c r="I573" s="9" t="s">
        <v>2126</v>
      </c>
      <c r="J573" s="10">
        <v>39608</v>
      </c>
      <c r="K573" s="10">
        <v>45552</v>
      </c>
      <c r="L573" s="9" t="s">
        <v>1207</v>
      </c>
      <c r="M573" s="33" t="str">
        <f>IF(ISNA(VLOOKUP(D573,'[3]Table APOQUA files'!$B:$B,1,FALSE)),"NO","YES")</f>
        <v>YES</v>
      </c>
      <c r="N573" s="33" t="str">
        <f>IF(ISNA(VLOOKUP(D573,'Base PFR table'!K:K,1,FALSE)),"NO","YES")</f>
        <v>YES</v>
      </c>
      <c r="O573" s="35" t="s">
        <v>2858</v>
      </c>
      <c r="P573" s="35" t="s">
        <v>2858</v>
      </c>
    </row>
    <row r="574" spans="3:16" ht="15" customHeight="1" x14ac:dyDescent="0.25">
      <c r="C574" s="69" t="s">
        <v>2087</v>
      </c>
      <c r="D574" s="1" t="s">
        <v>316</v>
      </c>
      <c r="E574" s="15" t="s">
        <v>1114</v>
      </c>
      <c r="F574" s="20" t="s">
        <v>1885</v>
      </c>
      <c r="G574" s="9" t="s">
        <v>1300</v>
      </c>
      <c r="H574" s="9" t="s">
        <v>1178</v>
      </c>
      <c r="I574" s="9" t="s">
        <v>1186</v>
      </c>
      <c r="J574" s="10">
        <v>39608</v>
      </c>
      <c r="K574" s="10">
        <v>43032</v>
      </c>
      <c r="L574" s="9" t="s">
        <v>2843</v>
      </c>
      <c r="M574" s="33" t="str">
        <f>IF(ISNA(VLOOKUP(D574,'[3]Table APOQUA files'!$B:$B,1,FALSE)),"NO","YES")</f>
        <v>YES</v>
      </c>
      <c r="N574" s="33" t="str">
        <f>IF(ISNA(VLOOKUP(D574,'Base PFR table'!K:K,1,FALSE)),"NO","YES")</f>
        <v>NO</v>
      </c>
      <c r="O574" s="35" t="s">
        <v>2858</v>
      </c>
      <c r="P574" s="35" t="s">
        <v>2858</v>
      </c>
    </row>
    <row r="575" spans="3:16" ht="15" customHeight="1" x14ac:dyDescent="0.25">
      <c r="C575" s="69" t="s">
        <v>2087</v>
      </c>
      <c r="D575" s="1" t="s">
        <v>134</v>
      </c>
      <c r="E575" s="15" t="s">
        <v>1115</v>
      </c>
      <c r="F575" s="20" t="s">
        <v>1886</v>
      </c>
      <c r="G575" s="9" t="s">
        <v>1533</v>
      </c>
      <c r="H575" s="9" t="s">
        <v>612</v>
      </c>
      <c r="I575" s="9" t="s">
        <v>2127</v>
      </c>
      <c r="J575" s="10">
        <v>39608</v>
      </c>
      <c r="K575" s="10">
        <v>45615</v>
      </c>
      <c r="L575" s="9" t="s">
        <v>1209</v>
      </c>
      <c r="M575" s="33" t="str">
        <f>IF(ISNA(VLOOKUP(D575,'[3]Table APOQUA files'!$B:$B,1,FALSE)),"NO","YES")</f>
        <v>YES</v>
      </c>
      <c r="N575" s="33" t="str">
        <f>IF(ISNA(VLOOKUP(D575,'Base PFR table'!K:K,1,FALSE)),"NO","YES")</f>
        <v>NO</v>
      </c>
      <c r="O575" s="35" t="s">
        <v>2858</v>
      </c>
      <c r="P575" s="35" t="s">
        <v>2858</v>
      </c>
    </row>
    <row r="576" spans="3:16" ht="15" customHeight="1" x14ac:dyDescent="0.25">
      <c r="C576" s="72" t="s">
        <v>2087</v>
      </c>
      <c r="D576" s="1" t="s">
        <v>132</v>
      </c>
      <c r="E576" s="15" t="s">
        <v>1116</v>
      </c>
      <c r="F576" s="20" t="s">
        <v>1888</v>
      </c>
      <c r="G576" s="9" t="s">
        <v>1533</v>
      </c>
      <c r="H576" s="9" t="s">
        <v>612</v>
      </c>
      <c r="I576" s="9" t="s">
        <v>2127</v>
      </c>
      <c r="J576" s="10">
        <v>39608</v>
      </c>
      <c r="K576" s="10">
        <v>45468</v>
      </c>
      <c r="L576" s="9" t="s">
        <v>1487</v>
      </c>
      <c r="M576" s="33" t="str">
        <f>IF(ISNA(VLOOKUP(D576,'[3]Table APOQUA files'!$B:$B,1,FALSE)),"NO","YES")</f>
        <v>YES</v>
      </c>
      <c r="N576" s="33" t="str">
        <f>IF(ISNA(VLOOKUP(D576,'Base PFR table'!K:K,1,FALSE)),"NO","YES")</f>
        <v>NO</v>
      </c>
      <c r="O576" s="35" t="s">
        <v>2858</v>
      </c>
      <c r="P576" s="35" t="s">
        <v>2858</v>
      </c>
    </row>
    <row r="577" spans="1:104" ht="15" customHeight="1" x14ac:dyDescent="0.25">
      <c r="C577" s="70" t="s">
        <v>2087</v>
      </c>
      <c r="D577" s="1" t="s">
        <v>135</v>
      </c>
      <c r="E577" s="15" t="s">
        <v>1117</v>
      </c>
      <c r="F577" s="20" t="s">
        <v>1889</v>
      </c>
      <c r="G577" s="9" t="s">
        <v>1887</v>
      </c>
      <c r="H577" s="9" t="s">
        <v>612</v>
      </c>
      <c r="I577" s="9" t="s">
        <v>2127</v>
      </c>
      <c r="J577" s="10">
        <v>39608</v>
      </c>
      <c r="K577" s="10">
        <v>45112</v>
      </c>
      <c r="L577" s="9" t="s">
        <v>1209</v>
      </c>
      <c r="M577" s="33" t="str">
        <f>IF(ISNA(VLOOKUP(D577,'[3]Table APOQUA files'!$B:$B,1,FALSE)),"NO","YES")</f>
        <v>YES</v>
      </c>
      <c r="N577" s="33" t="str">
        <f>IF(ISNA(VLOOKUP(D577,'Base PFR table'!K:K,1,FALSE)),"NO","YES")</f>
        <v>NO</v>
      </c>
      <c r="O577" s="35" t="s">
        <v>2858</v>
      </c>
      <c r="P577" s="35" t="s">
        <v>2858</v>
      </c>
    </row>
    <row r="578" spans="1:104" ht="15" customHeight="1" x14ac:dyDescent="0.25">
      <c r="C578" s="72" t="s">
        <v>2087</v>
      </c>
      <c r="D578" s="1" t="s">
        <v>328</v>
      </c>
      <c r="E578" s="15" t="s">
        <v>1118</v>
      </c>
      <c r="F578" s="20" t="s">
        <v>1890</v>
      </c>
      <c r="G578" s="9" t="s">
        <v>1494</v>
      </c>
      <c r="H578" s="9" t="s">
        <v>608</v>
      </c>
      <c r="I578" s="9" t="s">
        <v>2126</v>
      </c>
      <c r="J578" s="10">
        <v>39608</v>
      </c>
      <c r="K578" s="10">
        <v>45043</v>
      </c>
      <c r="L578" s="9" t="s">
        <v>1209</v>
      </c>
      <c r="M578" s="33" t="str">
        <f>IF(ISNA(VLOOKUP(D578,'[3]Table APOQUA files'!$B:$B,1,FALSE)),"NO","YES")</f>
        <v>YES</v>
      </c>
      <c r="N578" s="33" t="str">
        <f>IF(ISNA(VLOOKUP(D578,'Base PFR table'!K:K,1,FALSE)),"NO","YES")</f>
        <v>NO</v>
      </c>
      <c r="O578" s="35" t="s">
        <v>2858</v>
      </c>
      <c r="P578" s="35" t="s">
        <v>2858</v>
      </c>
    </row>
    <row r="579" spans="1:104" ht="15" customHeight="1" x14ac:dyDescent="0.25">
      <c r="C579" s="69" t="s">
        <v>2087</v>
      </c>
      <c r="D579" s="1" t="s">
        <v>320</v>
      </c>
      <c r="E579" s="15" t="s">
        <v>1119</v>
      </c>
      <c r="F579" s="20" t="s">
        <v>1891</v>
      </c>
      <c r="G579" s="9" t="s">
        <v>1413</v>
      </c>
      <c r="H579" s="9" t="s">
        <v>608</v>
      </c>
      <c r="I579" s="9" t="s">
        <v>2122</v>
      </c>
      <c r="J579" s="10">
        <v>39608</v>
      </c>
      <c r="K579" s="10">
        <v>44244</v>
      </c>
      <c r="L579" s="9" t="s">
        <v>1207</v>
      </c>
      <c r="M579" s="33" t="str">
        <f>IF(ISNA(VLOOKUP(D579,'[3]Table APOQUA files'!$B:$B,1,FALSE)),"NO","YES")</f>
        <v>YES</v>
      </c>
      <c r="N579" s="33" t="str">
        <f>IF(ISNA(VLOOKUP(D579,'Base PFR table'!K:K,1,FALSE)),"NO","YES")</f>
        <v>NO</v>
      </c>
      <c r="O579" s="35" t="s">
        <v>2858</v>
      </c>
      <c r="P579" s="35" t="s">
        <v>2858</v>
      </c>
    </row>
    <row r="580" spans="1:104" s="70" customFormat="1" ht="15" customHeight="1" x14ac:dyDescent="0.25">
      <c r="C580" s="70" t="s">
        <v>2087</v>
      </c>
      <c r="D580" s="14" t="s">
        <v>457</v>
      </c>
      <c r="E580" s="15" t="s">
        <v>1120</v>
      </c>
      <c r="F580" s="22" t="s">
        <v>1892</v>
      </c>
      <c r="G580" s="16" t="s">
        <v>1829</v>
      </c>
      <c r="H580" s="16" t="s">
        <v>608</v>
      </c>
      <c r="I580" s="16" t="s">
        <v>2122</v>
      </c>
      <c r="J580" s="17">
        <v>39608</v>
      </c>
      <c r="K580" s="17">
        <v>45222</v>
      </c>
      <c r="L580" s="16" t="s">
        <v>2843</v>
      </c>
      <c r="M580" s="55" t="str">
        <f>IF(ISNA(VLOOKUP(D580,'[3]Table APOQUA files'!$B:$B,1,FALSE)),"NO","YES")</f>
        <v>YES</v>
      </c>
      <c r="N580" s="55" t="str">
        <f>IF(ISNA(VLOOKUP(D580,'Base PFR table'!K:K,1,FALSE)),"NO","YES")</f>
        <v>NO</v>
      </c>
      <c r="O580" s="35" t="s">
        <v>2858</v>
      </c>
      <c r="P580" s="35" t="s">
        <v>2858</v>
      </c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  <c r="CU580" s="18"/>
      <c r="CV580" s="18"/>
      <c r="CW580" s="18"/>
      <c r="CX580" s="18"/>
      <c r="CY580" s="18"/>
      <c r="CZ580" s="18"/>
    </row>
    <row r="581" spans="1:104" ht="15" customHeight="1" x14ac:dyDescent="0.25">
      <c r="C581" s="69" t="s">
        <v>2087</v>
      </c>
      <c r="D581" s="14" t="s">
        <v>282</v>
      </c>
      <c r="E581" s="15" t="s">
        <v>1121</v>
      </c>
      <c r="F581" s="22" t="s">
        <v>2831</v>
      </c>
      <c r="G581" s="9" t="s">
        <v>1224</v>
      </c>
      <c r="H581" s="9" t="s">
        <v>599</v>
      </c>
      <c r="I581" s="9" t="s">
        <v>2057</v>
      </c>
      <c r="J581" s="10">
        <v>39608</v>
      </c>
      <c r="K581" s="10">
        <v>41005</v>
      </c>
      <c r="L581" s="9" t="s">
        <v>2843</v>
      </c>
      <c r="M581" s="33" t="str">
        <f>IF(ISNA(VLOOKUP(D581,'[3]Table APOQUA files'!$B:$B,1,FALSE)),"NO","YES")</f>
        <v>YES</v>
      </c>
      <c r="N581" s="33" t="str">
        <f>IF(ISNA(VLOOKUP(D581,'Base PFR table'!K:K,1,FALSE)),"NO","YES")</f>
        <v>NO</v>
      </c>
      <c r="O581" s="35" t="s">
        <v>2858</v>
      </c>
      <c r="P581" s="35" t="s">
        <v>2858</v>
      </c>
    </row>
    <row r="582" spans="1:104" s="70" customFormat="1" ht="15" customHeight="1" x14ac:dyDescent="0.25">
      <c r="C582" s="70" t="s">
        <v>2087</v>
      </c>
      <c r="D582" s="1" t="s">
        <v>51</v>
      </c>
      <c r="E582" s="93" t="s">
        <v>1122</v>
      </c>
      <c r="F582" s="22" t="s">
        <v>1894</v>
      </c>
      <c r="G582" s="16" t="s">
        <v>1559</v>
      </c>
      <c r="H582" s="16" t="s">
        <v>1174</v>
      </c>
      <c r="I582" s="16" t="s">
        <v>2133</v>
      </c>
      <c r="J582" s="17">
        <v>39608</v>
      </c>
      <c r="K582" s="17">
        <v>45222</v>
      </c>
      <c r="L582" s="16" t="s">
        <v>2843</v>
      </c>
      <c r="M582" s="55" t="str">
        <f>IF(ISNA(VLOOKUP(D582,'[3]Table APOQUA files'!$B:$B,1,FALSE)),"NO","YES")</f>
        <v>YES</v>
      </c>
      <c r="N582" s="55" t="str">
        <f>IF(ISNA(VLOOKUP(D582,'Base PFR table'!K:K,1,FALSE)),"NO","YES")</f>
        <v>NO</v>
      </c>
      <c r="O582" s="35" t="s">
        <v>2858</v>
      </c>
      <c r="P582" s="35" t="s">
        <v>2858</v>
      </c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18"/>
      <c r="CW582" s="18"/>
      <c r="CX582" s="18"/>
      <c r="CY582" s="18"/>
      <c r="CZ582" s="18"/>
    </row>
    <row r="583" spans="1:104" ht="15" customHeight="1" x14ac:dyDescent="0.25">
      <c r="C583" s="69" t="s">
        <v>2087</v>
      </c>
      <c r="D583" s="1" t="s">
        <v>46</v>
      </c>
      <c r="E583" s="15" t="s">
        <v>1123</v>
      </c>
      <c r="F583" s="20" t="s">
        <v>1895</v>
      </c>
      <c r="G583" s="9" t="s">
        <v>1360</v>
      </c>
      <c r="H583" s="9" t="s">
        <v>608</v>
      </c>
      <c r="I583" s="9" t="s">
        <v>2122</v>
      </c>
      <c r="J583" s="10">
        <v>39608</v>
      </c>
      <c r="K583" s="10">
        <v>45222</v>
      </c>
      <c r="L583" s="9" t="s">
        <v>1209</v>
      </c>
      <c r="M583" s="33" t="str">
        <f>IF(ISNA(VLOOKUP(D583,'[3]Table APOQUA files'!$B:$B,1,FALSE)),"NO","YES")</f>
        <v>YES</v>
      </c>
      <c r="N583" s="33" t="str">
        <f>IF(ISNA(VLOOKUP(D583,'Base PFR table'!K:K,1,FALSE)),"NO","YES")</f>
        <v>NO</v>
      </c>
      <c r="O583" s="35" t="s">
        <v>2858</v>
      </c>
      <c r="P583" s="35" t="s">
        <v>2858</v>
      </c>
    </row>
    <row r="584" spans="1:104" ht="15" customHeight="1" x14ac:dyDescent="0.25">
      <c r="C584" s="72" t="s">
        <v>2087</v>
      </c>
      <c r="D584" s="1" t="s">
        <v>289</v>
      </c>
      <c r="E584" s="15" t="s">
        <v>1124</v>
      </c>
      <c r="F584" s="20" t="s">
        <v>1896</v>
      </c>
      <c r="G584" s="9" t="s">
        <v>1449</v>
      </c>
      <c r="H584" s="9" t="s">
        <v>1177</v>
      </c>
      <c r="I584" s="9" t="s">
        <v>2122</v>
      </c>
      <c r="J584" s="10">
        <v>39608</v>
      </c>
      <c r="K584" s="10">
        <v>45028</v>
      </c>
      <c r="L584" s="9" t="s">
        <v>1209</v>
      </c>
      <c r="M584" s="33" t="str">
        <f>IF(ISNA(VLOOKUP(D584,'[3]Table APOQUA files'!$B:$B,1,FALSE)),"NO","YES")</f>
        <v>YES</v>
      </c>
      <c r="N584" s="33" t="str">
        <f>IF(ISNA(VLOOKUP(D584,'Base PFR table'!K:K,1,FALSE)),"NO","YES")</f>
        <v>NO</v>
      </c>
      <c r="O584" s="35" t="s">
        <v>2858</v>
      </c>
      <c r="P584" s="35" t="s">
        <v>2858</v>
      </c>
    </row>
    <row r="585" spans="1:104" s="70" customFormat="1" ht="15" customHeight="1" x14ac:dyDescent="0.25">
      <c r="C585" s="70" t="s">
        <v>2087</v>
      </c>
      <c r="D585" s="14" t="s">
        <v>313</v>
      </c>
      <c r="E585" s="15" t="s">
        <v>1125</v>
      </c>
      <c r="F585" s="22" t="s">
        <v>1208</v>
      </c>
      <c r="G585" s="16" t="s">
        <v>1769</v>
      </c>
      <c r="H585" s="16" t="s">
        <v>1175</v>
      </c>
      <c r="I585" s="16" t="s">
        <v>1186</v>
      </c>
      <c r="J585" s="17">
        <v>39608</v>
      </c>
      <c r="K585" s="17">
        <v>45222</v>
      </c>
      <c r="L585" s="16" t="s">
        <v>2843</v>
      </c>
      <c r="M585" s="55" t="str">
        <f>IF(ISNA(VLOOKUP(D585,'[3]Table APOQUA files'!$B:$B,1,FALSE)),"NO","YES")</f>
        <v>YES</v>
      </c>
      <c r="N585" s="55" t="str">
        <f>IF(ISNA(VLOOKUP(D585,'Base PFR table'!K:K,1,FALSE)),"NO","YES")</f>
        <v>NO</v>
      </c>
      <c r="O585" s="35" t="s">
        <v>2858</v>
      </c>
      <c r="P585" s="35" t="s">
        <v>2858</v>
      </c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  <c r="CV585" s="18"/>
      <c r="CW585" s="18"/>
      <c r="CX585" s="18"/>
      <c r="CY585" s="18"/>
      <c r="CZ585" s="18"/>
    </row>
    <row r="586" spans="1:104" ht="15" customHeight="1" x14ac:dyDescent="0.25">
      <c r="C586" s="69" t="s">
        <v>2087</v>
      </c>
      <c r="D586" s="1" t="s">
        <v>431</v>
      </c>
      <c r="E586" s="15" t="s">
        <v>1126</v>
      </c>
      <c r="F586" s="20" t="s">
        <v>1897</v>
      </c>
      <c r="G586" s="9" t="s">
        <v>1238</v>
      </c>
      <c r="H586" s="9" t="s">
        <v>1172</v>
      </c>
      <c r="I586" s="9" t="s">
        <v>2130</v>
      </c>
      <c r="J586" s="10">
        <v>39608</v>
      </c>
      <c r="K586" s="10">
        <v>43571</v>
      </c>
      <c r="L586" s="16" t="s">
        <v>2843</v>
      </c>
      <c r="M586" s="33" t="str">
        <f>IF(ISNA(VLOOKUP(D586,'[3]Table APOQUA files'!$B:$B,1,FALSE)),"NO","YES")</f>
        <v>YES</v>
      </c>
      <c r="N586" s="33" t="str">
        <f>IF(ISNA(VLOOKUP(D586,'Base PFR table'!K:K,1,FALSE)),"NO","YES")</f>
        <v>NO</v>
      </c>
      <c r="O586" s="35" t="s">
        <v>2858</v>
      </c>
      <c r="P586" s="35" t="s">
        <v>2858</v>
      </c>
    </row>
    <row r="587" spans="1:104" ht="15" customHeight="1" x14ac:dyDescent="0.25">
      <c r="C587" s="3" t="s">
        <v>2087</v>
      </c>
      <c r="D587" s="60" t="s">
        <v>67</v>
      </c>
      <c r="E587" s="56" t="s">
        <v>1127</v>
      </c>
      <c r="F587" s="57" t="s">
        <v>1898</v>
      </c>
      <c r="G587" s="58" t="s">
        <v>1899</v>
      </c>
      <c r="H587" s="58" t="s">
        <v>1171</v>
      </c>
      <c r="I587" s="58" t="s">
        <v>2126</v>
      </c>
      <c r="J587" s="59">
        <v>39608</v>
      </c>
      <c r="K587" s="59">
        <v>40913</v>
      </c>
      <c r="L587" s="58" t="s">
        <v>2645</v>
      </c>
      <c r="M587" s="33" t="str">
        <f>IF(ISNA(VLOOKUP(D587,'[3]Table APOQUA files'!$B:$B,1,FALSE)),"NO","YES")</f>
        <v>YES</v>
      </c>
      <c r="N587" s="33" t="str">
        <f>IF(ISNA(VLOOKUP(D587,'Base PFR table'!K:K,1,FALSE)),"NO","YES")</f>
        <v>NO</v>
      </c>
      <c r="O587" s="3" t="s">
        <v>2857</v>
      </c>
      <c r="P587" s="3" t="s">
        <v>2857</v>
      </c>
    </row>
    <row r="588" spans="1:104" ht="15" customHeight="1" x14ac:dyDescent="0.25">
      <c r="C588" s="69" t="s">
        <v>2087</v>
      </c>
      <c r="D588" s="1" t="s">
        <v>30</v>
      </c>
      <c r="E588" s="15" t="s">
        <v>1128</v>
      </c>
      <c r="F588" s="20" t="s">
        <v>1975</v>
      </c>
      <c r="G588" s="9" t="s">
        <v>1413</v>
      </c>
      <c r="H588" s="9" t="s">
        <v>608</v>
      </c>
      <c r="I588" s="9" t="s">
        <v>2122</v>
      </c>
      <c r="J588" s="10">
        <v>39608</v>
      </c>
      <c r="K588" s="10">
        <v>45322</v>
      </c>
      <c r="L588" s="9" t="s">
        <v>2675</v>
      </c>
      <c r="M588" s="33" t="str">
        <f>IF(ISNA(VLOOKUP(D588,'[3]Table APOQUA files'!$B:$B,1,FALSE)),"NO","YES")</f>
        <v>YES</v>
      </c>
      <c r="N588" s="33" t="str">
        <f>IF(ISNA(VLOOKUP(D588,'Base PFR table'!K:K,1,FALSE)),"NO","YES")</f>
        <v>NO</v>
      </c>
      <c r="O588" s="35" t="s">
        <v>2803</v>
      </c>
      <c r="P588" s="35" t="s">
        <v>2859</v>
      </c>
      <c r="Q588" s="3" t="s">
        <v>2867</v>
      </c>
    </row>
    <row r="589" spans="1:104" ht="15" customHeight="1" x14ac:dyDescent="0.25">
      <c r="C589" s="3" t="s">
        <v>2087</v>
      </c>
      <c r="D589" s="60" t="s">
        <v>14</v>
      </c>
      <c r="E589" s="56" t="s">
        <v>1129</v>
      </c>
      <c r="F589" s="57" t="s">
        <v>1208</v>
      </c>
      <c r="G589" s="58" t="s">
        <v>1240</v>
      </c>
      <c r="H589" s="58" t="s">
        <v>1173</v>
      </c>
      <c r="I589" s="58" t="s">
        <v>1186</v>
      </c>
      <c r="J589" s="59">
        <v>39608</v>
      </c>
      <c r="K589" s="59">
        <v>41225</v>
      </c>
      <c r="L589" s="58" t="s">
        <v>2645</v>
      </c>
      <c r="M589" s="33" t="str">
        <f>IF(ISNA(VLOOKUP(D589,'[3]Table APOQUA files'!$B:$B,1,FALSE)),"NO","YES")</f>
        <v>YES</v>
      </c>
      <c r="N589" s="33" t="str">
        <f>IF(ISNA(VLOOKUP(D589,'Base PFR table'!K:K,1,FALSE)),"NO","YES")</f>
        <v>NO</v>
      </c>
      <c r="O589" s="3" t="s">
        <v>2857</v>
      </c>
      <c r="P589" s="3" t="s">
        <v>2857</v>
      </c>
    </row>
    <row r="590" spans="1:104" s="18" customFormat="1" ht="15" customHeight="1" x14ac:dyDescent="0.25">
      <c r="A590" s="3"/>
      <c r="B590" s="3"/>
      <c r="C590" s="69" t="s">
        <v>2087</v>
      </c>
      <c r="D590" s="1" t="s">
        <v>42</v>
      </c>
      <c r="E590" s="93" t="s">
        <v>1130</v>
      </c>
      <c r="F590" s="22" t="s">
        <v>1208</v>
      </c>
      <c r="G590" s="16" t="s">
        <v>1769</v>
      </c>
      <c r="H590" s="16" t="s">
        <v>1175</v>
      </c>
      <c r="I590" s="16" t="s">
        <v>2133</v>
      </c>
      <c r="J590" s="17">
        <v>39608</v>
      </c>
      <c r="K590" s="17">
        <v>44319</v>
      </c>
      <c r="L590" s="16" t="s">
        <v>1209</v>
      </c>
      <c r="M590" s="55" t="str">
        <f>IF(ISNA(VLOOKUP(D590,'[3]Table APOQUA files'!$B:$B,1,FALSE)),"NO","YES")</f>
        <v>YES</v>
      </c>
      <c r="N590" s="55" t="str">
        <f>IF(ISNA(VLOOKUP(D590,'Base PFR table'!K:K,1,FALSE)),"NO","YES")</f>
        <v>NO</v>
      </c>
      <c r="O590" s="35" t="s">
        <v>2858</v>
      </c>
      <c r="P590" s="35" t="s">
        <v>2858</v>
      </c>
    </row>
    <row r="591" spans="1:104" ht="15" customHeight="1" x14ac:dyDescent="0.25">
      <c r="C591" s="69" t="s">
        <v>2087</v>
      </c>
      <c r="D591" s="1" t="s">
        <v>112</v>
      </c>
      <c r="E591" s="15" t="s">
        <v>1131</v>
      </c>
      <c r="F591" s="20" t="s">
        <v>2832</v>
      </c>
      <c r="G591" s="9" t="s">
        <v>1901</v>
      </c>
      <c r="H591" s="9" t="s">
        <v>1176</v>
      </c>
      <c r="I591" s="9" t="s">
        <v>2130</v>
      </c>
      <c r="J591" s="10">
        <v>39608</v>
      </c>
      <c r="K591" s="10">
        <v>45448</v>
      </c>
      <c r="L591" s="9" t="s">
        <v>1207</v>
      </c>
      <c r="M591" s="33" t="str">
        <f>IF(ISNA(VLOOKUP(D591,'[3]Table APOQUA files'!$B:$B,1,FALSE)),"NO","YES")</f>
        <v>YES</v>
      </c>
      <c r="N591" s="33" t="str">
        <f>IF(ISNA(VLOOKUP(D591,'Base PFR table'!K:K,1,FALSE)),"NO","YES")</f>
        <v>NO</v>
      </c>
      <c r="O591" s="35" t="s">
        <v>2858</v>
      </c>
      <c r="P591" s="35" t="s">
        <v>2858</v>
      </c>
    </row>
    <row r="592" spans="1:104" ht="15" customHeight="1" x14ac:dyDescent="0.25">
      <c r="D592" s="1" t="s">
        <v>106</v>
      </c>
      <c r="E592" s="15" t="s">
        <v>1132</v>
      </c>
      <c r="F592" s="20" t="s">
        <v>1902</v>
      </c>
      <c r="G592" s="9" t="s">
        <v>1525</v>
      </c>
      <c r="H592" s="9" t="s">
        <v>1176</v>
      </c>
      <c r="I592" s="9" t="s">
        <v>2122</v>
      </c>
      <c r="J592" s="10">
        <v>39608</v>
      </c>
      <c r="K592" s="10">
        <v>39633</v>
      </c>
      <c r="L592" s="16" t="s">
        <v>2843</v>
      </c>
      <c r="M592" s="33" t="str">
        <f>IF(ISNA(VLOOKUP(D592,'[3]Table APOQUA files'!$B:$B,1,FALSE)),"NO","YES")</f>
        <v>YES</v>
      </c>
      <c r="N592" s="33" t="str">
        <f>IF(ISNA(VLOOKUP(D592,'Base PFR table'!K:K,1,FALSE)),"NO","YES")</f>
        <v>NO</v>
      </c>
      <c r="O592" s="35" t="s">
        <v>2858</v>
      </c>
      <c r="P592" s="35" t="s">
        <v>2858</v>
      </c>
    </row>
    <row r="593" spans="1:104" ht="15" customHeight="1" x14ac:dyDescent="0.25">
      <c r="C593" s="83" t="s">
        <v>2087</v>
      </c>
      <c r="D593" s="1" t="s">
        <v>54</v>
      </c>
      <c r="E593" s="15" t="s">
        <v>1133</v>
      </c>
      <c r="F593" s="20" t="s">
        <v>1903</v>
      </c>
      <c r="G593" s="9" t="s">
        <v>1904</v>
      </c>
      <c r="H593" s="9" t="s">
        <v>1177</v>
      </c>
      <c r="I593" s="9" t="s">
        <v>2123</v>
      </c>
      <c r="J593" s="10">
        <v>39608</v>
      </c>
      <c r="K593" s="10">
        <v>45222</v>
      </c>
      <c r="L593" s="9" t="s">
        <v>1207</v>
      </c>
      <c r="M593" s="33" t="str">
        <f>IF(ISNA(VLOOKUP(D593,'[3]Table APOQUA files'!$B:$B,1,FALSE)),"NO","YES")</f>
        <v>YES</v>
      </c>
      <c r="N593" s="33" t="str">
        <f>IF(ISNA(VLOOKUP(D593,'Base PFR table'!K:K,1,FALSE)),"NO","YES")</f>
        <v>NO</v>
      </c>
      <c r="O593" s="35" t="s">
        <v>2858</v>
      </c>
      <c r="P593" s="35" t="s">
        <v>2858</v>
      </c>
    </row>
    <row r="594" spans="1:104" s="70" customFormat="1" ht="15" customHeight="1" x14ac:dyDescent="0.25">
      <c r="C594" s="84" t="s">
        <v>2087</v>
      </c>
      <c r="D594" s="14" t="s">
        <v>287</v>
      </c>
      <c r="E594" s="15" t="s">
        <v>1134</v>
      </c>
      <c r="F594" s="22" t="s">
        <v>1905</v>
      </c>
      <c r="G594" s="16" t="s">
        <v>1661</v>
      </c>
      <c r="H594" s="16" t="s">
        <v>1180</v>
      </c>
      <c r="I594" s="16" t="s">
        <v>1186</v>
      </c>
      <c r="J594" s="17">
        <v>39608</v>
      </c>
      <c r="K594" s="17">
        <v>45222</v>
      </c>
      <c r="L594" s="16" t="s">
        <v>2843</v>
      </c>
      <c r="M594" s="55" t="str">
        <f>IF(ISNA(VLOOKUP(D594,'[3]Table APOQUA files'!$B:$B,1,FALSE)),"NO","YES")</f>
        <v>YES</v>
      </c>
      <c r="N594" s="55" t="str">
        <f>IF(ISNA(VLOOKUP(D594,'Base PFR table'!K:K,1,FALSE)),"NO","YES")</f>
        <v>NO</v>
      </c>
      <c r="O594" s="35" t="s">
        <v>2858</v>
      </c>
      <c r="P594" s="35" t="s">
        <v>2858</v>
      </c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18"/>
      <c r="CW594" s="18"/>
      <c r="CX594" s="18"/>
      <c r="CY594" s="18"/>
      <c r="CZ594" s="18"/>
    </row>
    <row r="595" spans="1:104" ht="15" customHeight="1" x14ac:dyDescent="0.25">
      <c r="C595" s="85" t="s">
        <v>2087</v>
      </c>
      <c r="D595" s="1" t="s">
        <v>47</v>
      </c>
      <c r="E595" s="15" t="s">
        <v>1135</v>
      </c>
      <c r="F595" s="20" t="s">
        <v>1906</v>
      </c>
      <c r="G595" s="9" t="s">
        <v>1285</v>
      </c>
      <c r="H595" s="9" t="s">
        <v>1176</v>
      </c>
      <c r="I595" s="9" t="s">
        <v>2130</v>
      </c>
      <c r="J595" s="10">
        <v>39608</v>
      </c>
      <c r="K595" s="10">
        <v>45222</v>
      </c>
      <c r="L595" s="9" t="s">
        <v>1209</v>
      </c>
      <c r="M595" s="33" t="str">
        <f>IF(ISNA(VLOOKUP(D595,'[3]Table APOQUA files'!$B:$B,1,FALSE)),"NO","YES")</f>
        <v>YES</v>
      </c>
      <c r="N595" s="33" t="str">
        <f>IF(ISNA(VLOOKUP(D595,'Base PFR table'!K:K,1,FALSE)),"NO","YES")</f>
        <v>NO</v>
      </c>
      <c r="O595" s="35" t="s">
        <v>2858</v>
      </c>
      <c r="P595" s="35" t="s">
        <v>2858</v>
      </c>
    </row>
    <row r="596" spans="1:104" s="70" customFormat="1" ht="15" customHeight="1" x14ac:dyDescent="0.25">
      <c r="C596" s="84" t="s">
        <v>2087</v>
      </c>
      <c r="D596" s="14" t="s">
        <v>429</v>
      </c>
      <c r="E596" s="15" t="s">
        <v>1136</v>
      </c>
      <c r="F596" s="22" t="s">
        <v>1907</v>
      </c>
      <c r="G596" s="16" t="s">
        <v>1292</v>
      </c>
      <c r="H596" s="16" t="s">
        <v>1176</v>
      </c>
      <c r="I596" s="16" t="s">
        <v>2130</v>
      </c>
      <c r="J596" s="17">
        <v>39608</v>
      </c>
      <c r="K596" s="17">
        <v>45222</v>
      </c>
      <c r="L596" s="16" t="s">
        <v>2843</v>
      </c>
      <c r="M596" s="55" t="str">
        <f>IF(ISNA(VLOOKUP(D596,'[3]Table APOQUA files'!$B:$B,1,FALSE)),"NO","YES")</f>
        <v>YES</v>
      </c>
      <c r="N596" s="55" t="str">
        <f>IF(ISNA(VLOOKUP(D596,'Base PFR table'!K:K,1,FALSE)),"NO","YES")</f>
        <v>NO</v>
      </c>
      <c r="O596" s="35" t="s">
        <v>2858</v>
      </c>
      <c r="P596" s="35" t="s">
        <v>2858</v>
      </c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18"/>
      <c r="CW596" s="18"/>
      <c r="CX596" s="18"/>
      <c r="CY596" s="18"/>
      <c r="CZ596" s="18"/>
    </row>
    <row r="597" spans="1:104" ht="15" customHeight="1" x14ac:dyDescent="0.25">
      <c r="C597" s="85" t="s">
        <v>2087</v>
      </c>
      <c r="D597" s="1" t="s">
        <v>432</v>
      </c>
      <c r="E597" s="15" t="s">
        <v>2834</v>
      </c>
      <c r="F597" s="20" t="s">
        <v>2833</v>
      </c>
      <c r="G597" s="9" t="s">
        <v>1238</v>
      </c>
      <c r="H597" s="9" t="s">
        <v>1172</v>
      </c>
      <c r="I597" s="9" t="s">
        <v>2130</v>
      </c>
      <c r="J597" s="10">
        <v>39608</v>
      </c>
      <c r="K597" s="10">
        <v>43735</v>
      </c>
      <c r="L597" s="16" t="s">
        <v>2843</v>
      </c>
      <c r="M597" s="33" t="str">
        <f>IF(ISNA(VLOOKUP(D597,'[3]Table APOQUA files'!$B:$B,1,FALSE)),"NO","YES")</f>
        <v>YES</v>
      </c>
      <c r="N597" s="33" t="str">
        <f>IF(ISNA(VLOOKUP(D597,'Base PFR table'!K:K,1,FALSE)),"NO","YES")</f>
        <v>NO</v>
      </c>
      <c r="O597" s="35" t="s">
        <v>2858</v>
      </c>
      <c r="P597" s="35" t="s">
        <v>2858</v>
      </c>
    </row>
    <row r="598" spans="1:104" ht="15" customHeight="1" x14ac:dyDescent="0.25">
      <c r="D598" s="60" t="s">
        <v>455</v>
      </c>
      <c r="E598" s="56" t="s">
        <v>1137</v>
      </c>
      <c r="F598" s="57" t="s">
        <v>1208</v>
      </c>
      <c r="G598" s="58" t="s">
        <v>1208</v>
      </c>
      <c r="H598" s="58" t="s">
        <v>539</v>
      </c>
      <c r="I598" s="58" t="s">
        <v>2130</v>
      </c>
      <c r="J598" s="59">
        <v>39608</v>
      </c>
      <c r="K598" s="59">
        <v>39804</v>
      </c>
      <c r="L598" s="58" t="s">
        <v>2645</v>
      </c>
      <c r="M598" s="33" t="str">
        <f>IF(ISNA(VLOOKUP(D598,'[3]Table APOQUA files'!$B:$B,1,FALSE)),"NO","YES")</f>
        <v>YES</v>
      </c>
      <c r="N598" s="33" t="str">
        <f>IF(ISNA(VLOOKUP(D598,'Base PFR table'!K:K,1,FALSE)),"NO","YES")</f>
        <v>NO</v>
      </c>
      <c r="O598" s="3" t="s">
        <v>2857</v>
      </c>
      <c r="P598" s="3" t="s">
        <v>2857</v>
      </c>
    </row>
    <row r="599" spans="1:104" ht="15" customHeight="1" x14ac:dyDescent="0.25">
      <c r="C599" s="85" t="s">
        <v>2087</v>
      </c>
      <c r="D599" s="1" t="s">
        <v>264</v>
      </c>
      <c r="E599" s="15" t="s">
        <v>2836</v>
      </c>
      <c r="F599" s="20" t="s">
        <v>2835</v>
      </c>
      <c r="G599" s="9" t="s">
        <v>1741</v>
      </c>
      <c r="H599" s="9" t="s">
        <v>1177</v>
      </c>
      <c r="I599" s="9" t="s">
        <v>2130</v>
      </c>
      <c r="J599" s="10">
        <v>39608</v>
      </c>
      <c r="K599" s="10">
        <v>43621</v>
      </c>
      <c r="L599" s="9" t="s">
        <v>1209</v>
      </c>
      <c r="M599" s="33" t="str">
        <f>IF(ISNA(VLOOKUP(D599,'[3]Table APOQUA files'!$B:$B,1,FALSE)),"NO","YES")</f>
        <v>YES</v>
      </c>
      <c r="N599" s="33" t="str">
        <f>IF(ISNA(VLOOKUP(D599,'Base PFR table'!K:K,1,FALSE)),"NO","YES")</f>
        <v>NO</v>
      </c>
      <c r="O599" s="35" t="s">
        <v>2858</v>
      </c>
      <c r="P599" s="35" t="s">
        <v>2858</v>
      </c>
    </row>
    <row r="600" spans="1:104" ht="15" customHeight="1" x14ac:dyDescent="0.25">
      <c r="C600" s="83" t="s">
        <v>2087</v>
      </c>
      <c r="D600" s="1" t="s">
        <v>333</v>
      </c>
      <c r="E600" s="15" t="s">
        <v>1138</v>
      </c>
      <c r="F600" s="20" t="s">
        <v>1910</v>
      </c>
      <c r="G600" s="9" t="s">
        <v>1315</v>
      </c>
      <c r="H600" s="9" t="s">
        <v>599</v>
      </c>
      <c r="I600" s="9" t="s">
        <v>2123</v>
      </c>
      <c r="J600" s="10">
        <v>39608</v>
      </c>
      <c r="K600" s="10">
        <v>43924</v>
      </c>
      <c r="L600" s="9" t="s">
        <v>1207</v>
      </c>
      <c r="M600" s="33" t="str">
        <f>IF(ISNA(VLOOKUP(D600,'[3]Table APOQUA files'!$B:$B,1,FALSE)),"NO","YES")</f>
        <v>YES</v>
      </c>
      <c r="N600" s="33" t="str">
        <f>IF(ISNA(VLOOKUP(D600,'Base PFR table'!K:K,1,FALSE)),"NO","YES")</f>
        <v>NO</v>
      </c>
      <c r="O600" s="35" t="s">
        <v>2858</v>
      </c>
      <c r="P600" s="35" t="s">
        <v>2858</v>
      </c>
    </row>
    <row r="601" spans="1:104" ht="15" customHeight="1" x14ac:dyDescent="0.25">
      <c r="D601" s="60" t="s">
        <v>102</v>
      </c>
      <c r="E601" s="56" t="s">
        <v>1139</v>
      </c>
      <c r="F601" s="57" t="s">
        <v>1911</v>
      </c>
      <c r="G601" s="58" t="s">
        <v>1496</v>
      </c>
      <c r="H601" s="58" t="s">
        <v>1176</v>
      </c>
      <c r="I601" s="58" t="s">
        <v>2130</v>
      </c>
      <c r="J601" s="59">
        <v>39608</v>
      </c>
      <c r="K601" s="59">
        <v>41444</v>
      </c>
      <c r="L601" s="58" t="s">
        <v>2645</v>
      </c>
      <c r="M601" s="33" t="str">
        <f>IF(ISNA(VLOOKUP(D601,'[3]Table APOQUA files'!$B:$B,1,FALSE)),"NO","YES")</f>
        <v>YES</v>
      </c>
      <c r="N601" s="33" t="str">
        <f>IF(ISNA(VLOOKUP(D601,'Base PFR table'!K:K,1,FALSE)),"NO","YES")</f>
        <v>NO</v>
      </c>
      <c r="O601" s="3" t="s">
        <v>2857</v>
      </c>
      <c r="P601" s="3" t="s">
        <v>2857</v>
      </c>
    </row>
    <row r="602" spans="1:104" ht="15" customHeight="1" x14ac:dyDescent="0.25">
      <c r="D602" s="60" t="s">
        <v>402</v>
      </c>
      <c r="E602" s="56" t="s">
        <v>1140</v>
      </c>
      <c r="F602" s="57" t="s">
        <v>1912</v>
      </c>
      <c r="G602" s="58" t="s">
        <v>1610</v>
      </c>
      <c r="H602" s="58" t="s">
        <v>539</v>
      </c>
      <c r="I602" s="58" t="s">
        <v>1186</v>
      </c>
      <c r="J602" s="59">
        <v>39968</v>
      </c>
      <c r="K602" s="59">
        <v>41311</v>
      </c>
      <c r="L602" s="58" t="s">
        <v>2645</v>
      </c>
      <c r="M602" s="33" t="str">
        <f>IF(ISNA(VLOOKUP(D602,'[3]Table APOQUA files'!$B:$B,1,FALSE)),"NO","YES")</f>
        <v>YES</v>
      </c>
      <c r="N602" s="33" t="str">
        <f>IF(ISNA(VLOOKUP(D602,'Base PFR table'!K:K,1,FALSE)),"NO","YES")</f>
        <v>NO</v>
      </c>
      <c r="O602" s="3" t="s">
        <v>2857</v>
      </c>
      <c r="P602" s="3" t="s">
        <v>2857</v>
      </c>
    </row>
    <row r="603" spans="1:104" ht="15" customHeight="1" x14ac:dyDescent="0.25">
      <c r="D603" s="60" t="s">
        <v>403</v>
      </c>
      <c r="E603" s="56" t="s">
        <v>1141</v>
      </c>
      <c r="F603" s="57" t="s">
        <v>1913</v>
      </c>
      <c r="G603" s="58" t="s">
        <v>1914</v>
      </c>
      <c r="H603" s="58" t="s">
        <v>1173</v>
      </c>
      <c r="I603" s="58" t="s">
        <v>1186</v>
      </c>
      <c r="J603" s="59">
        <v>39608</v>
      </c>
      <c r="K603" s="59">
        <v>41311</v>
      </c>
      <c r="L603" s="58" t="s">
        <v>2645</v>
      </c>
      <c r="M603" s="33" t="str">
        <f>IF(ISNA(VLOOKUP(D603,'[3]Table APOQUA files'!$B:$B,1,FALSE)),"NO","YES")</f>
        <v>YES</v>
      </c>
      <c r="N603" s="33" t="str">
        <f>IF(ISNA(VLOOKUP(D603,'Base PFR table'!K:K,1,FALSE)),"NO","YES")</f>
        <v>NO</v>
      </c>
      <c r="O603" s="3" t="s">
        <v>2857</v>
      </c>
      <c r="P603" s="3" t="s">
        <v>2857</v>
      </c>
    </row>
    <row r="604" spans="1:104" ht="15" customHeight="1" x14ac:dyDescent="0.25">
      <c r="C604" s="85" t="s">
        <v>2087</v>
      </c>
      <c r="D604" s="1" t="s">
        <v>41</v>
      </c>
      <c r="E604" s="15" t="s">
        <v>1142</v>
      </c>
      <c r="F604" s="20" t="s">
        <v>1915</v>
      </c>
      <c r="G604" s="9" t="s">
        <v>1220</v>
      </c>
      <c r="H604" s="9" t="s">
        <v>1170</v>
      </c>
      <c r="I604" s="9" t="s">
        <v>2133</v>
      </c>
      <c r="J604" s="10">
        <v>39608</v>
      </c>
      <c r="K604" s="10">
        <v>45222</v>
      </c>
      <c r="L604" s="9" t="s">
        <v>1209</v>
      </c>
      <c r="M604" s="33" t="str">
        <f>IF(ISNA(VLOOKUP(D604,'[3]Table APOQUA files'!$B:$B,1,FALSE)),"NO","YES")</f>
        <v>YES</v>
      </c>
      <c r="N604" s="33" t="str">
        <f>IF(ISNA(VLOOKUP(D604,'Base PFR table'!K:K,1,FALSE)),"NO","YES")</f>
        <v>NO</v>
      </c>
      <c r="O604" s="35" t="s">
        <v>2858</v>
      </c>
      <c r="P604" s="35" t="s">
        <v>2858</v>
      </c>
    </row>
    <row r="605" spans="1:104" s="18" customFormat="1" ht="15" customHeight="1" x14ac:dyDescent="0.25">
      <c r="A605" s="70"/>
      <c r="B605" s="70"/>
      <c r="C605" s="84" t="s">
        <v>2087</v>
      </c>
      <c r="D605" s="88" t="s">
        <v>359</v>
      </c>
      <c r="E605" s="90" t="s">
        <v>1143</v>
      </c>
      <c r="F605" s="22" t="s">
        <v>1208</v>
      </c>
      <c r="G605" s="16" t="s">
        <v>1211</v>
      </c>
      <c r="H605" s="16" t="s">
        <v>1169</v>
      </c>
      <c r="I605" s="16" t="s">
        <v>2125</v>
      </c>
      <c r="J605" s="17">
        <v>39608</v>
      </c>
      <c r="K605" s="17">
        <v>42990</v>
      </c>
      <c r="L605" s="16" t="s">
        <v>2843</v>
      </c>
      <c r="M605" s="55" t="str">
        <f>IF(ISNA(VLOOKUP(D605,'[3]Table APOQUA files'!$B:$B,1,FALSE)),"NO","YES")</f>
        <v>YES</v>
      </c>
      <c r="N605" s="55" t="str">
        <f>IF(ISNA(VLOOKUP(D605,'Base PFR table'!K:K,1,FALSE)),"NO","YES")</f>
        <v>NO</v>
      </c>
      <c r="O605" s="35" t="s">
        <v>2858</v>
      </c>
      <c r="P605" s="35" t="s">
        <v>2858</v>
      </c>
    </row>
    <row r="606" spans="1:104" ht="15" customHeight="1" x14ac:dyDescent="0.25">
      <c r="C606" s="83" t="s">
        <v>2087</v>
      </c>
      <c r="D606" s="1" t="s">
        <v>103</v>
      </c>
      <c r="E606" s="15" t="s">
        <v>1144</v>
      </c>
      <c r="F606" s="20" t="s">
        <v>2644</v>
      </c>
      <c r="G606" s="9" t="s">
        <v>1525</v>
      </c>
      <c r="H606" s="9" t="s">
        <v>1176</v>
      </c>
      <c r="I606" s="9" t="s">
        <v>2122</v>
      </c>
      <c r="J606" s="10">
        <v>39608</v>
      </c>
      <c r="K606" s="10">
        <v>45358</v>
      </c>
      <c r="L606" s="9" t="s">
        <v>1207</v>
      </c>
      <c r="M606" s="33" t="str">
        <f>IF(ISNA(VLOOKUP(D606,'[3]Table APOQUA files'!$B:$B,1,FALSE)),"NO","YES")</f>
        <v>YES</v>
      </c>
      <c r="N606" s="33" t="str">
        <f>IF(ISNA(VLOOKUP(D606,'Base PFR table'!K:K,1,FALSE)),"NO","YES")</f>
        <v>NO</v>
      </c>
      <c r="O606" s="35" t="s">
        <v>2858</v>
      </c>
      <c r="P606" s="35" t="s">
        <v>2858</v>
      </c>
    </row>
    <row r="607" spans="1:104" ht="15" customHeight="1" x14ac:dyDescent="0.25">
      <c r="D607" s="60" t="s">
        <v>355</v>
      </c>
      <c r="E607" s="56" t="s">
        <v>1145</v>
      </c>
      <c r="F607" s="57" t="s">
        <v>1208</v>
      </c>
      <c r="G607" s="58" t="s">
        <v>1917</v>
      </c>
      <c r="H607" s="58" t="s">
        <v>1169</v>
      </c>
      <c r="I607" s="58" t="s">
        <v>2125</v>
      </c>
      <c r="J607" s="59">
        <v>39608</v>
      </c>
      <c r="K607" s="59">
        <v>41810</v>
      </c>
      <c r="L607" s="58" t="s">
        <v>2645</v>
      </c>
      <c r="M607" s="33" t="str">
        <f>IF(ISNA(VLOOKUP(D607,'[3]Table APOQUA files'!$B:$B,1,FALSE)),"NO","YES")</f>
        <v>YES</v>
      </c>
      <c r="N607" s="33" t="str">
        <f>IF(ISNA(VLOOKUP(D607,'Base PFR table'!K:K,1,FALSE)),"NO","YES")</f>
        <v>NO</v>
      </c>
      <c r="O607" s="3" t="s">
        <v>2857</v>
      </c>
      <c r="P607" s="3" t="s">
        <v>2857</v>
      </c>
    </row>
    <row r="608" spans="1:104" ht="15" customHeight="1" x14ac:dyDescent="0.25">
      <c r="C608" s="83" t="s">
        <v>2087</v>
      </c>
      <c r="D608" s="1" t="s">
        <v>2</v>
      </c>
      <c r="E608" s="15" t="s">
        <v>1146</v>
      </c>
      <c r="F608" s="20" t="s">
        <v>1918</v>
      </c>
      <c r="G608" s="9" t="s">
        <v>1340</v>
      </c>
      <c r="H608" s="9" t="s">
        <v>1171</v>
      </c>
      <c r="I608" s="9" t="s">
        <v>2133</v>
      </c>
      <c r="J608" s="10">
        <v>39608</v>
      </c>
      <c r="K608" s="10">
        <v>42636</v>
      </c>
      <c r="L608" s="9" t="s">
        <v>2843</v>
      </c>
      <c r="M608" s="33" t="str">
        <f>IF(ISNA(VLOOKUP(D608,'[3]Table APOQUA files'!$B:$B,1,FALSE)),"NO","YES")</f>
        <v>YES</v>
      </c>
      <c r="N608" s="33" t="str">
        <f>IF(ISNA(VLOOKUP(D608,'Base PFR table'!K:K,1,FALSE)),"NO","YES")</f>
        <v>NO</v>
      </c>
      <c r="O608" s="35" t="s">
        <v>2858</v>
      </c>
      <c r="P608" s="35" t="s">
        <v>2858</v>
      </c>
    </row>
    <row r="609" spans="3:104" ht="15" customHeight="1" x14ac:dyDescent="0.25">
      <c r="D609" s="60" t="s">
        <v>82</v>
      </c>
      <c r="E609" s="56" t="s">
        <v>1147</v>
      </c>
      <c r="F609" s="57" t="s">
        <v>1919</v>
      </c>
      <c r="G609" s="58" t="s">
        <v>1220</v>
      </c>
      <c r="H609" s="58" t="s">
        <v>1170</v>
      </c>
      <c r="I609" s="58" t="s">
        <v>2133</v>
      </c>
      <c r="J609" s="59">
        <v>39608</v>
      </c>
      <c r="K609" s="59">
        <v>41458</v>
      </c>
      <c r="L609" s="58" t="s">
        <v>2645</v>
      </c>
      <c r="M609" s="33" t="str">
        <f>IF(ISNA(VLOOKUP(D609,'[3]Table APOQUA files'!$B:$B,1,FALSE)),"NO","YES")</f>
        <v>YES</v>
      </c>
      <c r="N609" s="33" t="str">
        <f>IF(ISNA(VLOOKUP(D609,'Base PFR table'!K:K,1,FALSE)),"NO","YES")</f>
        <v>NO</v>
      </c>
      <c r="O609" s="3" t="s">
        <v>2857</v>
      </c>
      <c r="P609" s="3" t="s">
        <v>2857</v>
      </c>
    </row>
    <row r="610" spans="3:104" ht="15" customHeight="1" x14ac:dyDescent="0.25">
      <c r="C610" s="83" t="s">
        <v>2087</v>
      </c>
      <c r="D610" s="1" t="s">
        <v>35</v>
      </c>
      <c r="E610" s="15" t="s">
        <v>1148</v>
      </c>
      <c r="F610" s="20" t="s">
        <v>1920</v>
      </c>
      <c r="G610" s="9" t="s">
        <v>1220</v>
      </c>
      <c r="H610" s="9" t="s">
        <v>1170</v>
      </c>
      <c r="I610" s="9" t="s">
        <v>2133</v>
      </c>
      <c r="J610" s="10">
        <v>39608</v>
      </c>
      <c r="K610" s="10">
        <v>45222</v>
      </c>
      <c r="L610" s="9" t="s">
        <v>1209</v>
      </c>
      <c r="M610" s="33" t="str">
        <f>IF(ISNA(VLOOKUP(D610,'[3]Table APOQUA files'!$B:$B,1,FALSE)),"NO","YES")</f>
        <v>YES</v>
      </c>
      <c r="N610" s="33" t="str">
        <f>IF(ISNA(VLOOKUP(D610,'Base PFR table'!K:K,1,FALSE)),"NO","YES")</f>
        <v>NO</v>
      </c>
      <c r="O610" s="35" t="s">
        <v>2858</v>
      </c>
      <c r="P610" s="35" t="s">
        <v>2858</v>
      </c>
    </row>
    <row r="611" spans="3:104" ht="15" customHeight="1" x14ac:dyDescent="0.25">
      <c r="D611" s="60" t="s">
        <v>362</v>
      </c>
      <c r="E611" s="56" t="s">
        <v>1149</v>
      </c>
      <c r="F611" s="57" t="s">
        <v>1208</v>
      </c>
      <c r="G611" s="58" t="s">
        <v>1921</v>
      </c>
      <c r="H611" s="58" t="s">
        <v>1177</v>
      </c>
      <c r="I611" s="58">
        <v>0</v>
      </c>
      <c r="J611" s="59">
        <v>39608</v>
      </c>
      <c r="K611" s="59">
        <v>39785</v>
      </c>
      <c r="L611" s="58" t="s">
        <v>2645</v>
      </c>
      <c r="M611" s="33" t="str">
        <f>IF(ISNA(VLOOKUP(D611,'[3]Table APOQUA files'!$B:$B,1,FALSE)),"NO","YES")</f>
        <v>YES</v>
      </c>
      <c r="N611" s="33" t="str">
        <f>IF(ISNA(VLOOKUP(D611,'Base PFR table'!K:K,1,FALSE)),"NO","YES")</f>
        <v>NO</v>
      </c>
      <c r="O611" s="3" t="s">
        <v>2857</v>
      </c>
      <c r="P611" s="3" t="s">
        <v>2857</v>
      </c>
    </row>
    <row r="612" spans="3:104" ht="15" customHeight="1" x14ac:dyDescent="0.25">
      <c r="D612" s="60" t="s">
        <v>185</v>
      </c>
      <c r="E612" s="56" t="s">
        <v>1150</v>
      </c>
      <c r="F612" s="57" t="s">
        <v>1922</v>
      </c>
      <c r="G612" s="58" t="s">
        <v>1255</v>
      </c>
      <c r="H612" s="58" t="s">
        <v>1177</v>
      </c>
      <c r="I612" s="58">
        <v>0</v>
      </c>
      <c r="J612" s="59">
        <v>39608</v>
      </c>
      <c r="K612" s="59">
        <v>41457</v>
      </c>
      <c r="L612" s="58" t="s">
        <v>2645</v>
      </c>
      <c r="M612" s="33" t="str">
        <f>IF(ISNA(VLOOKUP(D612,'[3]Table APOQUA files'!$B:$B,1,FALSE)),"NO","YES")</f>
        <v>YES</v>
      </c>
      <c r="N612" s="33" t="str">
        <f>IF(ISNA(VLOOKUP(D612,'Base PFR table'!K:K,1,FALSE)),"NO","YES")</f>
        <v>NO</v>
      </c>
      <c r="O612" s="3" t="s">
        <v>2857</v>
      </c>
      <c r="P612" s="3" t="s">
        <v>2857</v>
      </c>
    </row>
    <row r="613" spans="3:104" ht="15" customHeight="1" x14ac:dyDescent="0.25">
      <c r="C613" s="83" t="s">
        <v>2087</v>
      </c>
      <c r="D613" s="1" t="s">
        <v>152</v>
      </c>
      <c r="E613" s="15" t="s">
        <v>1151</v>
      </c>
      <c r="F613" s="20" t="s">
        <v>1923</v>
      </c>
      <c r="G613" s="9" t="s">
        <v>1379</v>
      </c>
      <c r="H613" s="9" t="s">
        <v>1172</v>
      </c>
      <c r="I613" s="9" t="s">
        <v>2130</v>
      </c>
      <c r="J613" s="10">
        <v>39608</v>
      </c>
      <c r="K613" s="10">
        <v>42779</v>
      </c>
      <c r="L613" s="9" t="s">
        <v>2843</v>
      </c>
      <c r="M613" s="33" t="str">
        <f>IF(ISNA(VLOOKUP(D613,'[3]Table APOQUA files'!$B:$B,1,FALSE)),"NO","YES")</f>
        <v>YES</v>
      </c>
      <c r="N613" s="33" t="str">
        <f>IF(ISNA(VLOOKUP(D613,'Base PFR table'!K:K,1,FALSE)),"NO","YES")</f>
        <v>NO</v>
      </c>
      <c r="O613" s="35" t="s">
        <v>2858</v>
      </c>
      <c r="P613" s="35" t="s">
        <v>2858</v>
      </c>
    </row>
    <row r="614" spans="3:104" ht="15" customHeight="1" x14ac:dyDescent="0.25">
      <c r="C614" s="85" t="s">
        <v>2087</v>
      </c>
      <c r="D614" s="14" t="s">
        <v>194</v>
      </c>
      <c r="E614" s="15" t="s">
        <v>1152</v>
      </c>
      <c r="F614" s="22" t="s">
        <v>1924</v>
      </c>
      <c r="G614" s="9" t="s">
        <v>1264</v>
      </c>
      <c r="H614" s="9" t="s">
        <v>1173</v>
      </c>
      <c r="I614" s="9" t="s">
        <v>1186</v>
      </c>
      <c r="J614" s="10">
        <v>39608</v>
      </c>
      <c r="K614" s="10">
        <v>45505</v>
      </c>
      <c r="L614" s="9" t="s">
        <v>1209</v>
      </c>
      <c r="M614" s="33" t="str">
        <f>IF(ISNA(VLOOKUP(D614,'[3]Table APOQUA files'!$B:$B,1,FALSE)),"NO","YES")</f>
        <v>YES</v>
      </c>
      <c r="N614" s="33" t="str">
        <f>IF(ISNA(VLOOKUP(D614,'Base PFR table'!K:K,1,FALSE)),"NO","YES")</f>
        <v>YES</v>
      </c>
      <c r="O614" s="35" t="s">
        <v>2858</v>
      </c>
      <c r="P614" s="35" t="s">
        <v>2858</v>
      </c>
    </row>
    <row r="615" spans="3:104" ht="15" customHeight="1" x14ac:dyDescent="0.25">
      <c r="D615" s="60" t="s">
        <v>368</v>
      </c>
      <c r="E615" s="56" t="s">
        <v>1153</v>
      </c>
      <c r="F615" s="57" t="s">
        <v>1208</v>
      </c>
      <c r="G615" s="58" t="s">
        <v>1741</v>
      </c>
      <c r="H615" s="58" t="s">
        <v>1176</v>
      </c>
      <c r="I615" s="58" t="s">
        <v>2130</v>
      </c>
      <c r="J615" s="59">
        <v>39608</v>
      </c>
      <c r="K615" s="59">
        <v>41220</v>
      </c>
      <c r="L615" s="58" t="s">
        <v>2645</v>
      </c>
      <c r="M615" s="33" t="str">
        <f>IF(ISNA(VLOOKUP(D615,'[3]Table APOQUA files'!$B:$B,1,FALSE)),"NO","YES")</f>
        <v>YES</v>
      </c>
      <c r="N615" s="33" t="str">
        <f>IF(ISNA(VLOOKUP(D615,'Base PFR table'!K:K,1,FALSE)),"NO","YES")</f>
        <v>NO</v>
      </c>
      <c r="O615" s="3" t="s">
        <v>2857</v>
      </c>
      <c r="P615" s="3" t="s">
        <v>2857</v>
      </c>
    </row>
    <row r="616" spans="3:104" ht="15" customHeight="1" x14ac:dyDescent="0.25">
      <c r="C616" s="83" t="s">
        <v>2087</v>
      </c>
      <c r="D616" s="14" t="s">
        <v>400</v>
      </c>
      <c r="E616" s="15" t="s">
        <v>1154</v>
      </c>
      <c r="F616" s="22" t="s">
        <v>1925</v>
      </c>
      <c r="G616" s="9" t="s">
        <v>1741</v>
      </c>
      <c r="H616" s="9" t="s">
        <v>1176</v>
      </c>
      <c r="I616" s="9" t="s">
        <v>2130</v>
      </c>
      <c r="J616" s="10">
        <v>39608</v>
      </c>
      <c r="K616" s="10">
        <v>45469</v>
      </c>
      <c r="L616" s="9" t="s">
        <v>1207</v>
      </c>
      <c r="M616" s="33" t="str">
        <f>IF(ISNA(VLOOKUP(D616,'[3]Table APOQUA files'!$B:$B,1,FALSE)),"NO","YES")</f>
        <v>YES</v>
      </c>
      <c r="N616" s="33" t="str">
        <f>IF(ISNA(VLOOKUP(D616,'Base PFR table'!K:K,1,FALSE)),"NO","YES")</f>
        <v>NO</v>
      </c>
      <c r="O616" s="35" t="s">
        <v>2858</v>
      </c>
      <c r="P616" s="35" t="s">
        <v>2858</v>
      </c>
    </row>
    <row r="617" spans="3:104" ht="15" customHeight="1" x14ac:dyDescent="0.25">
      <c r="C617" s="83" t="s">
        <v>2087</v>
      </c>
      <c r="D617" s="1" t="s">
        <v>45</v>
      </c>
      <c r="E617" s="15" t="s">
        <v>2837</v>
      </c>
      <c r="F617" s="20" t="s">
        <v>2838</v>
      </c>
      <c r="G617" s="9" t="s">
        <v>1461</v>
      </c>
      <c r="H617" s="9" t="s">
        <v>1178</v>
      </c>
      <c r="I617" s="9" t="s">
        <v>1186</v>
      </c>
      <c r="J617" s="10">
        <v>39608</v>
      </c>
      <c r="K617" s="10">
        <v>45426</v>
      </c>
      <c r="L617" s="9" t="s">
        <v>1487</v>
      </c>
      <c r="M617" s="33" t="str">
        <f>IF(ISNA(VLOOKUP(D617,'[3]Table APOQUA files'!$B:$B,1,FALSE)),"NO","YES")</f>
        <v>YES</v>
      </c>
      <c r="N617" s="33" t="str">
        <f>IF(ISNA(VLOOKUP(D617,'Base PFR table'!K:K,1,FALSE)),"NO","YES")</f>
        <v>NO</v>
      </c>
      <c r="O617" s="35" t="s">
        <v>2858</v>
      </c>
      <c r="P617" s="35" t="s">
        <v>2858</v>
      </c>
    </row>
    <row r="618" spans="3:104" s="70" customFormat="1" ht="15" customHeight="1" x14ac:dyDescent="0.25">
      <c r="C618" s="84" t="s">
        <v>2087</v>
      </c>
      <c r="D618" s="88" t="s">
        <v>109</v>
      </c>
      <c r="E618" s="93" t="s">
        <v>1155</v>
      </c>
      <c r="F618" s="22" t="s">
        <v>1208</v>
      </c>
      <c r="G618" s="16" t="s">
        <v>1769</v>
      </c>
      <c r="H618" s="16" t="s">
        <v>1175</v>
      </c>
      <c r="I618" s="16" t="s">
        <v>2130</v>
      </c>
      <c r="J618" s="17">
        <v>39608</v>
      </c>
      <c r="K618" s="17">
        <v>45222</v>
      </c>
      <c r="L618" s="16" t="s">
        <v>2843</v>
      </c>
      <c r="M618" s="55" t="str">
        <f>IF(ISNA(VLOOKUP(D618,'[3]Table APOQUA files'!$B:$B,1,FALSE)),"NO","YES")</f>
        <v>YES</v>
      </c>
      <c r="N618" s="55" t="str">
        <f>IF(ISNA(VLOOKUP(D618,'Base PFR table'!K:K,1,FALSE)),"NO","YES")</f>
        <v>NO</v>
      </c>
      <c r="O618" s="35" t="s">
        <v>2858</v>
      </c>
      <c r="P618" s="35" t="s">
        <v>2858</v>
      </c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  <c r="CV618" s="18"/>
      <c r="CW618" s="18"/>
      <c r="CX618" s="18"/>
      <c r="CY618" s="18"/>
      <c r="CZ618" s="18"/>
    </row>
    <row r="619" spans="3:104" ht="15" customHeight="1" x14ac:dyDescent="0.25">
      <c r="C619" s="83" t="s">
        <v>2087</v>
      </c>
      <c r="D619" s="1" t="s">
        <v>105</v>
      </c>
      <c r="E619" s="15" t="s">
        <v>1156</v>
      </c>
      <c r="F619" s="20" t="s">
        <v>1927</v>
      </c>
      <c r="G619" s="9" t="s">
        <v>1306</v>
      </c>
      <c r="H619" s="9" t="s">
        <v>1178</v>
      </c>
      <c r="I619" s="9" t="s">
        <v>1186</v>
      </c>
      <c r="J619" s="10">
        <v>39608</v>
      </c>
      <c r="K619" s="10">
        <v>43427</v>
      </c>
      <c r="L619" s="9" t="s">
        <v>2843</v>
      </c>
      <c r="M619" s="33" t="str">
        <f>IF(ISNA(VLOOKUP(D619,'[3]Table APOQUA files'!$B:$B,1,FALSE)),"NO","YES")</f>
        <v>YES</v>
      </c>
      <c r="N619" s="33" t="str">
        <f>IF(ISNA(VLOOKUP(D619,'Base PFR table'!K:K,1,FALSE)),"NO","YES")</f>
        <v>NO</v>
      </c>
      <c r="O619" s="35" t="s">
        <v>2858</v>
      </c>
      <c r="P619" s="35" t="s">
        <v>2858</v>
      </c>
    </row>
    <row r="620" spans="3:104" ht="15" customHeight="1" x14ac:dyDescent="0.25">
      <c r="D620" s="60" t="s">
        <v>301</v>
      </c>
      <c r="E620" s="56" t="s">
        <v>1157</v>
      </c>
      <c r="F620" s="57" t="s">
        <v>1208</v>
      </c>
      <c r="G620" s="58" t="s">
        <v>1208</v>
      </c>
      <c r="H620" s="58" t="s">
        <v>539</v>
      </c>
      <c r="I620" s="58" t="s">
        <v>2125</v>
      </c>
      <c r="J620" s="59">
        <v>39608</v>
      </c>
      <c r="K620" s="59">
        <v>40218</v>
      </c>
      <c r="L620" s="58" t="s">
        <v>2645</v>
      </c>
      <c r="M620" s="33" t="str">
        <f>IF(ISNA(VLOOKUP(D620,'[3]Table APOQUA files'!$B:$B,1,FALSE)),"NO","YES")</f>
        <v>YES</v>
      </c>
      <c r="N620" s="33" t="str">
        <f>IF(ISNA(VLOOKUP(D620,'Base PFR table'!K:K,1,FALSE)),"NO","YES")</f>
        <v>NO</v>
      </c>
      <c r="O620" s="3" t="s">
        <v>2857</v>
      </c>
      <c r="P620" s="3" t="s">
        <v>2857</v>
      </c>
    </row>
    <row r="621" spans="3:104" ht="15" customHeight="1" x14ac:dyDescent="0.25">
      <c r="C621" s="85" t="s">
        <v>2087</v>
      </c>
      <c r="D621" s="1" t="s">
        <v>298</v>
      </c>
      <c r="E621" s="15" t="s">
        <v>1158</v>
      </c>
      <c r="F621" s="20" t="s">
        <v>1928</v>
      </c>
      <c r="G621" s="9" t="s">
        <v>2839</v>
      </c>
      <c r="H621" s="9" t="s">
        <v>599</v>
      </c>
      <c r="I621" s="9" t="s">
        <v>2125</v>
      </c>
      <c r="J621" s="10">
        <v>39608</v>
      </c>
      <c r="K621" s="10">
        <v>42884</v>
      </c>
      <c r="L621" s="9" t="s">
        <v>2843</v>
      </c>
      <c r="M621" s="33" t="str">
        <f>IF(ISNA(VLOOKUP(D621,'[3]Table APOQUA files'!$B:$B,1,FALSE)),"NO","YES")</f>
        <v>YES</v>
      </c>
      <c r="N621" s="33" t="str">
        <f>IF(ISNA(VLOOKUP(D621,'Base PFR table'!K:K,1,FALSE)),"NO","YES")</f>
        <v>NO</v>
      </c>
      <c r="O621" s="35" t="s">
        <v>2858</v>
      </c>
      <c r="P621" s="35" t="s">
        <v>2858</v>
      </c>
    </row>
    <row r="622" spans="3:104" ht="15" customHeight="1" x14ac:dyDescent="0.25">
      <c r="C622" s="83" t="s">
        <v>2087</v>
      </c>
      <c r="D622" s="1" t="s">
        <v>95</v>
      </c>
      <c r="E622" s="15" t="s">
        <v>1159</v>
      </c>
      <c r="F622" s="22" t="s">
        <v>1208</v>
      </c>
      <c r="G622" s="9" t="s">
        <v>1681</v>
      </c>
      <c r="H622" s="9" t="s">
        <v>1172</v>
      </c>
      <c r="I622" s="9" t="s">
        <v>2130</v>
      </c>
      <c r="J622" s="10">
        <v>39608</v>
      </c>
      <c r="K622" s="10">
        <v>39785</v>
      </c>
      <c r="L622" s="16" t="s">
        <v>2843</v>
      </c>
      <c r="M622" s="33" t="str">
        <f>IF(ISNA(VLOOKUP(D622,'[3]Table APOQUA files'!$B:$B,1,FALSE)),"NO","YES")</f>
        <v>YES</v>
      </c>
      <c r="N622" s="33" t="str">
        <f>IF(ISNA(VLOOKUP(D622,'Base PFR table'!K:K,1,FALSE)),"NO","YES")</f>
        <v>NO</v>
      </c>
      <c r="O622" s="35" t="s">
        <v>2858</v>
      </c>
      <c r="P622" s="35" t="s">
        <v>2858</v>
      </c>
    </row>
    <row r="623" spans="3:104" s="70" customFormat="1" ht="15" customHeight="1" x14ac:dyDescent="0.25">
      <c r="C623" s="84" t="s">
        <v>2087</v>
      </c>
      <c r="D623" s="88" t="s">
        <v>198</v>
      </c>
      <c r="E623" s="93" t="s">
        <v>1160</v>
      </c>
      <c r="F623" s="22" t="s">
        <v>1929</v>
      </c>
      <c r="G623" s="16" t="s">
        <v>1313</v>
      </c>
      <c r="H623" s="16" t="s">
        <v>1172</v>
      </c>
      <c r="I623" s="16" t="s">
        <v>2130</v>
      </c>
      <c r="J623" s="17">
        <v>39608</v>
      </c>
      <c r="K623" s="17">
        <v>45222</v>
      </c>
      <c r="L623" s="16" t="s">
        <v>2843</v>
      </c>
      <c r="M623" s="55" t="str">
        <f>IF(ISNA(VLOOKUP(D623,'[3]Table APOQUA files'!$B:$B,1,FALSE)),"NO","YES")</f>
        <v>YES</v>
      </c>
      <c r="N623" s="55" t="str">
        <f>IF(ISNA(VLOOKUP(D623,'Base PFR table'!K:K,1,FALSE)),"NO","YES")</f>
        <v>NO</v>
      </c>
      <c r="O623" s="35" t="s">
        <v>2858</v>
      </c>
      <c r="P623" s="35" t="s">
        <v>2858</v>
      </c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18"/>
      <c r="CW623" s="18"/>
      <c r="CX623" s="18"/>
      <c r="CY623" s="18"/>
      <c r="CZ623" s="18"/>
    </row>
    <row r="624" spans="3:104" ht="15" customHeight="1" x14ac:dyDescent="0.25">
      <c r="C624" s="83" t="s">
        <v>2087</v>
      </c>
      <c r="D624" s="1" t="s">
        <v>101</v>
      </c>
      <c r="E624" s="15" t="s">
        <v>1161</v>
      </c>
      <c r="F624" s="20" t="s">
        <v>2840</v>
      </c>
      <c r="G624" s="9" t="s">
        <v>1496</v>
      </c>
      <c r="H624" s="9" t="s">
        <v>1176</v>
      </c>
      <c r="I624" s="9" t="s">
        <v>2130</v>
      </c>
      <c r="J624" s="10">
        <v>39608</v>
      </c>
      <c r="K624" s="10">
        <v>44319</v>
      </c>
      <c r="L624" s="9" t="s">
        <v>1209</v>
      </c>
      <c r="M624" s="33" t="str">
        <f>IF(ISNA(VLOOKUP(D624,'[3]Table APOQUA files'!$B:$B,1,FALSE)),"NO","YES")</f>
        <v>YES</v>
      </c>
      <c r="N624" s="33" t="str">
        <f>IF(ISNA(VLOOKUP(D624,'Base PFR table'!K:K,1,FALSE)),"NO","YES")</f>
        <v>NO</v>
      </c>
      <c r="O624" s="35" t="s">
        <v>2858</v>
      </c>
      <c r="P624" s="35" t="s">
        <v>2858</v>
      </c>
    </row>
    <row r="625" spans="3:18" ht="15" customHeight="1" x14ac:dyDescent="0.25">
      <c r="C625" s="83" t="s">
        <v>2087</v>
      </c>
      <c r="D625" s="14" t="s">
        <v>439</v>
      </c>
      <c r="E625" s="15" t="s">
        <v>2841</v>
      </c>
      <c r="F625" s="22" t="s">
        <v>2842</v>
      </c>
      <c r="G625" s="9" t="s">
        <v>1224</v>
      </c>
      <c r="H625" s="9" t="s">
        <v>599</v>
      </c>
      <c r="I625" s="9" t="s">
        <v>2057</v>
      </c>
      <c r="J625" s="10">
        <v>39608</v>
      </c>
      <c r="K625" s="10">
        <v>45568</v>
      </c>
      <c r="L625" s="9" t="s">
        <v>1209</v>
      </c>
      <c r="M625" s="33" t="str">
        <f>IF(ISNA(VLOOKUP(D625,'[3]Table APOQUA files'!$B:$B,1,FALSE)),"NO","YES")</f>
        <v>YES</v>
      </c>
      <c r="N625" s="33" t="str">
        <f>IF(ISNA(VLOOKUP(D625,'Base PFR table'!K:K,1,FALSE)),"NO","YES")</f>
        <v>NO</v>
      </c>
      <c r="O625" s="35" t="s">
        <v>2858</v>
      </c>
      <c r="P625" s="35" t="s">
        <v>2858</v>
      </c>
    </row>
    <row r="626" spans="3:18" ht="15" customHeight="1" x14ac:dyDescent="0.25">
      <c r="D626" s="60" t="s">
        <v>56</v>
      </c>
      <c r="E626" s="56" t="s">
        <v>1162</v>
      </c>
      <c r="F626" s="57" t="s">
        <v>1932</v>
      </c>
      <c r="G626" s="58" t="s">
        <v>1933</v>
      </c>
      <c r="H626" s="58" t="s">
        <v>1170</v>
      </c>
      <c r="I626" s="58" t="s">
        <v>2133</v>
      </c>
      <c r="J626" s="59">
        <v>39608</v>
      </c>
      <c r="K626" s="59">
        <v>40218</v>
      </c>
      <c r="L626" s="58" t="s">
        <v>2645</v>
      </c>
      <c r="M626" s="33" t="str">
        <f>IF(ISNA(VLOOKUP(D626,'[3]Table APOQUA files'!$B:$B,1,FALSE)),"NO","YES")</f>
        <v>YES</v>
      </c>
      <c r="N626" s="33" t="str">
        <f>IF(ISNA(VLOOKUP(D626,'Base PFR table'!K:K,1,FALSE)),"NO","YES")</f>
        <v>NO</v>
      </c>
      <c r="O626" s="3" t="s">
        <v>2857</v>
      </c>
      <c r="P626" s="3" t="s">
        <v>2857</v>
      </c>
    </row>
    <row r="627" spans="3:18" ht="15" customHeight="1" x14ac:dyDescent="0.25">
      <c r="C627" s="85" t="s">
        <v>2087</v>
      </c>
      <c r="D627" s="1" t="s">
        <v>445</v>
      </c>
      <c r="E627" s="15" t="s">
        <v>1163</v>
      </c>
      <c r="F627" s="20" t="s">
        <v>1934</v>
      </c>
      <c r="G627" s="9" t="s">
        <v>1298</v>
      </c>
      <c r="H627" s="9" t="s">
        <v>1173</v>
      </c>
      <c r="I627" s="9" t="s">
        <v>1186</v>
      </c>
      <c r="J627" s="10">
        <v>39608</v>
      </c>
      <c r="K627" s="10">
        <v>45222</v>
      </c>
      <c r="L627" s="9" t="s">
        <v>1209</v>
      </c>
      <c r="M627" s="33" t="str">
        <f>IF(ISNA(VLOOKUP(D627,'[3]Table APOQUA files'!$B:$B,1,FALSE)),"NO","YES")</f>
        <v>YES</v>
      </c>
      <c r="N627" s="33" t="str">
        <f>IF(ISNA(VLOOKUP(D627,'Base PFR table'!K:K,1,FALSE)),"NO","YES")</f>
        <v>NO</v>
      </c>
      <c r="O627" s="35" t="s">
        <v>2858</v>
      </c>
      <c r="P627" s="35" t="s">
        <v>2858</v>
      </c>
    </row>
    <row r="628" spans="3:18" ht="15" customHeight="1" x14ac:dyDescent="0.25">
      <c r="D628" s="60" t="s">
        <v>33</v>
      </c>
      <c r="E628" s="56" t="s">
        <v>1164</v>
      </c>
      <c r="F628" s="57" t="s">
        <v>1935</v>
      </c>
      <c r="G628" s="58" t="s">
        <v>1468</v>
      </c>
      <c r="H628" s="58" t="s">
        <v>1173</v>
      </c>
      <c r="I628" s="58" t="s">
        <v>1186</v>
      </c>
      <c r="J628" s="59">
        <v>39608</v>
      </c>
      <c r="K628" s="59">
        <v>42606</v>
      </c>
      <c r="L628" s="58" t="s">
        <v>2645</v>
      </c>
      <c r="M628" s="33" t="str">
        <f>IF(ISNA(VLOOKUP(D628,'[3]Table APOQUA files'!$B:$B,1,FALSE)),"NO","YES")</f>
        <v>YES</v>
      </c>
      <c r="N628" s="33" t="str">
        <f>IF(ISNA(VLOOKUP(D628,'Base PFR table'!K:K,1,FALSE)),"NO","YES")</f>
        <v>NO</v>
      </c>
      <c r="O628" s="3" t="s">
        <v>2857</v>
      </c>
      <c r="P628" s="3" t="s">
        <v>2857</v>
      </c>
    </row>
    <row r="629" spans="3:18" ht="15" customHeight="1" x14ac:dyDescent="0.25">
      <c r="C629" s="85" t="s">
        <v>2087</v>
      </c>
      <c r="D629" s="1" t="s">
        <v>69</v>
      </c>
      <c r="E629" s="15" t="s">
        <v>1165</v>
      </c>
      <c r="F629" s="20" t="s">
        <v>1936</v>
      </c>
      <c r="G629" s="9" t="s">
        <v>1296</v>
      </c>
      <c r="H629" s="9" t="s">
        <v>1178</v>
      </c>
      <c r="I629" s="9" t="s">
        <v>1186</v>
      </c>
      <c r="J629" s="10">
        <v>41156</v>
      </c>
      <c r="K629" s="10">
        <v>44319</v>
      </c>
      <c r="L629" s="9" t="s">
        <v>1209</v>
      </c>
      <c r="M629" s="33" t="str">
        <f>IF(ISNA(VLOOKUP(D629,'[3]Table APOQUA files'!$B:$B,1,FALSE)),"NO","YES")</f>
        <v>YES</v>
      </c>
      <c r="N629" s="33" t="str">
        <f>IF(ISNA(VLOOKUP(D629,'Base PFR table'!K:K,1,FALSE)),"NO","YES")</f>
        <v>NO</v>
      </c>
      <c r="O629" s="35" t="s">
        <v>2858</v>
      </c>
      <c r="P629" s="35" t="s">
        <v>2858</v>
      </c>
    </row>
    <row r="630" spans="3:18" ht="15" customHeight="1" x14ac:dyDescent="0.2">
      <c r="C630" s="83" t="s">
        <v>2087</v>
      </c>
      <c r="D630" s="32" t="s">
        <v>16</v>
      </c>
      <c r="E630" s="15" t="s">
        <v>1166</v>
      </c>
      <c r="F630" s="20" t="s">
        <v>1937</v>
      </c>
      <c r="G630" s="9" t="s">
        <v>1240</v>
      </c>
      <c r="H630" s="9" t="s">
        <v>1173</v>
      </c>
      <c r="I630" s="9" t="s">
        <v>1186</v>
      </c>
      <c r="J630" s="10">
        <v>39608</v>
      </c>
      <c r="K630" s="10">
        <v>45622</v>
      </c>
      <c r="L630" s="9" t="s">
        <v>1209</v>
      </c>
      <c r="M630" s="33" t="str">
        <f>IF(ISNA(VLOOKUP(D630,'[3]Table APOQUA files'!$B:$B,1,FALSE)),"NO","YES")</f>
        <v>YES</v>
      </c>
      <c r="N630" s="33" t="str">
        <f>IF(ISNA(VLOOKUP(D630,'Base PFR table'!K:K,1,FALSE)),"NO","YES")</f>
        <v>NO</v>
      </c>
      <c r="O630" s="35" t="s">
        <v>2858</v>
      </c>
      <c r="P630" s="35" t="s">
        <v>2858</v>
      </c>
    </row>
    <row r="631" spans="3:18" ht="15" customHeight="1" x14ac:dyDescent="0.25">
      <c r="D631" s="60" t="s">
        <v>17</v>
      </c>
      <c r="E631" s="56" t="s">
        <v>1167</v>
      </c>
      <c r="F631" s="57" t="s">
        <v>1938</v>
      </c>
      <c r="G631" s="58" t="s">
        <v>1240</v>
      </c>
      <c r="H631" s="58" t="s">
        <v>1173</v>
      </c>
      <c r="I631" s="58" t="s">
        <v>1186</v>
      </c>
      <c r="J631" s="59">
        <v>39608</v>
      </c>
      <c r="K631" s="59">
        <v>44767</v>
      </c>
      <c r="L631" s="58" t="s">
        <v>2645</v>
      </c>
      <c r="M631" s="33" t="str">
        <f>IF(ISNA(VLOOKUP(D631,'[3]Table APOQUA files'!$B:$B,1,FALSE)),"NO","YES")</f>
        <v>YES</v>
      </c>
      <c r="N631" s="33" t="str">
        <f>IF(ISNA(VLOOKUP(D631,'Base PFR table'!K:K,1,FALSE)),"NO","YES")</f>
        <v>NO</v>
      </c>
      <c r="O631" s="3" t="s">
        <v>2857</v>
      </c>
      <c r="P631" s="3" t="s">
        <v>2857</v>
      </c>
    </row>
    <row r="632" spans="3:18" ht="15" customHeight="1" x14ac:dyDescent="0.25">
      <c r="D632" s="60" t="s">
        <v>21</v>
      </c>
      <c r="E632" s="56" t="s">
        <v>1168</v>
      </c>
      <c r="F632" s="57" t="s">
        <v>1208</v>
      </c>
      <c r="G632" s="58" t="s">
        <v>1769</v>
      </c>
      <c r="H632" s="58" t="s">
        <v>1175</v>
      </c>
      <c r="I632" s="58" t="s">
        <v>2133</v>
      </c>
      <c r="J632" s="59">
        <v>39608</v>
      </c>
      <c r="K632" s="59">
        <v>41225</v>
      </c>
      <c r="L632" s="58" t="s">
        <v>2645</v>
      </c>
      <c r="M632" s="33" t="str">
        <f>IF(ISNA(VLOOKUP(D632,'[3]Table APOQUA files'!$B:$B,1,FALSE)),"NO","YES")</f>
        <v>YES</v>
      </c>
      <c r="N632" s="33" t="str">
        <f>IF(ISNA(VLOOKUP(D632,'Base PFR table'!K:K,1,FALSE)),"NO","YES")</f>
        <v>NO</v>
      </c>
      <c r="O632" s="3" t="s">
        <v>2857</v>
      </c>
      <c r="P632" s="3" t="s">
        <v>2857</v>
      </c>
    </row>
    <row r="633" spans="3:18" ht="15" customHeight="1" x14ac:dyDescent="0.25">
      <c r="C633" s="83" t="s">
        <v>2087</v>
      </c>
      <c r="D633" s="14" t="s">
        <v>110</v>
      </c>
      <c r="E633" s="15" t="s">
        <v>2710</v>
      </c>
      <c r="F633" s="22" t="s">
        <v>2711</v>
      </c>
      <c r="G633" s="16" t="s">
        <v>1244</v>
      </c>
      <c r="H633" s="16" t="s">
        <v>1175</v>
      </c>
      <c r="I633" s="9" t="s">
        <v>2130</v>
      </c>
      <c r="J633" s="10">
        <v>39608</v>
      </c>
      <c r="K633" s="10">
        <v>45504</v>
      </c>
      <c r="L633" s="9" t="s">
        <v>1487</v>
      </c>
      <c r="M633" s="33" t="str">
        <f>IF(ISNA(VLOOKUP(D633,'[3]Table APOQUA files'!$B:$B,1,FALSE)),"NO","YES")</f>
        <v>YES</v>
      </c>
      <c r="N633" s="33" t="str">
        <f>IF(ISNA(VLOOKUP(D633,'Base PFR table'!K:K,1,FALSE)),"NO","YES")</f>
        <v>NO</v>
      </c>
      <c r="O633" s="35" t="s">
        <v>2858</v>
      </c>
      <c r="P633" s="35" t="s">
        <v>2858</v>
      </c>
    </row>
    <row r="634" spans="3:18" ht="15" customHeight="1" x14ac:dyDescent="0.25">
      <c r="C634" s="85" t="s">
        <v>2087</v>
      </c>
      <c r="D634" s="1" t="s">
        <v>2541</v>
      </c>
      <c r="E634" s="65" t="s">
        <v>2540</v>
      </c>
      <c r="F634" s="12" t="s">
        <v>2542</v>
      </c>
      <c r="G634" s="11" t="s">
        <v>1206</v>
      </c>
      <c r="H634" s="11" t="s">
        <v>593</v>
      </c>
      <c r="I634" s="9" t="s">
        <v>2496</v>
      </c>
      <c r="J634" s="13">
        <v>44732</v>
      </c>
      <c r="K634" s="13">
        <v>45337</v>
      </c>
      <c r="L634" s="11" t="s">
        <v>2675</v>
      </c>
      <c r="M634" s="33" t="str">
        <f>IF(ISNA(VLOOKUP(D634,'[3]Table APOQUA files'!$B:$B,1,FALSE)),"NO","YES")</f>
        <v>NO</v>
      </c>
      <c r="N634" s="33" t="str">
        <f>IF(ISNA(VLOOKUP(D634,'Base PFR table'!K:K,1,FALSE)),"NO","YES")</f>
        <v>NO</v>
      </c>
      <c r="O634" s="35" t="s">
        <v>2870</v>
      </c>
      <c r="P634" s="35" t="s">
        <v>2865</v>
      </c>
      <c r="Q634" s="3" t="s">
        <v>2867</v>
      </c>
      <c r="R634" s="3" t="s">
        <v>2875</v>
      </c>
    </row>
    <row r="635" spans="3:18" ht="15" customHeight="1" x14ac:dyDescent="0.25">
      <c r="C635" s="83" t="s">
        <v>2087</v>
      </c>
      <c r="D635" s="1" t="s">
        <v>2712</v>
      </c>
      <c r="E635" s="65" t="s">
        <v>2713</v>
      </c>
      <c r="F635" s="12" t="s">
        <v>2714</v>
      </c>
      <c r="G635" s="11" t="s">
        <v>1206</v>
      </c>
      <c r="H635" s="11" t="s">
        <v>593</v>
      </c>
      <c r="I635" s="9" t="s">
        <v>2496</v>
      </c>
      <c r="J635" s="13">
        <v>44732</v>
      </c>
      <c r="K635" s="13">
        <v>45358</v>
      </c>
      <c r="L635" s="11" t="s">
        <v>2675</v>
      </c>
      <c r="M635" s="33" t="str">
        <f>IF(ISNA(VLOOKUP(D635,'[3]Table APOQUA files'!$B:$B,1,FALSE)),"NO","YES")</f>
        <v>NO</v>
      </c>
      <c r="N635" s="33" t="str">
        <f>IF(ISNA(VLOOKUP(D635,'Base PFR table'!K:K,1,FALSE)),"NO","YES")</f>
        <v>NO</v>
      </c>
      <c r="O635" s="35" t="s">
        <v>2858</v>
      </c>
      <c r="P635" s="35" t="s">
        <v>2858</v>
      </c>
    </row>
    <row r="636" spans="3:18" ht="15" customHeight="1" x14ac:dyDescent="0.25">
      <c r="C636" s="83" t="s">
        <v>2087</v>
      </c>
      <c r="D636" s="1" t="s">
        <v>2715</v>
      </c>
      <c r="E636" s="65" t="s">
        <v>2716</v>
      </c>
      <c r="F636" s="12" t="s">
        <v>2717</v>
      </c>
      <c r="G636" s="11" t="s">
        <v>1595</v>
      </c>
      <c r="H636" s="11" t="s">
        <v>593</v>
      </c>
      <c r="I636" s="11" t="s">
        <v>2125</v>
      </c>
      <c r="J636" s="13">
        <v>44629</v>
      </c>
      <c r="K636" s="13">
        <v>45356</v>
      </c>
      <c r="L636" s="11" t="s">
        <v>1207</v>
      </c>
      <c r="M636" s="33" t="str">
        <f>IF(ISNA(VLOOKUP(D636,'[3]Table APOQUA files'!$B:$B,1,FALSE)),"NO","YES")</f>
        <v>NO</v>
      </c>
      <c r="N636" s="33" t="str">
        <f>IF(ISNA(VLOOKUP(D636,'Base PFR table'!K:K,1,FALSE)),"NO","YES")</f>
        <v>YES</v>
      </c>
      <c r="O636" s="35" t="s">
        <v>2858</v>
      </c>
      <c r="P636" s="35" t="s">
        <v>2858</v>
      </c>
    </row>
    <row r="637" spans="3:18" ht="15" customHeight="1" x14ac:dyDescent="0.25">
      <c r="C637" s="83" t="s">
        <v>2087</v>
      </c>
      <c r="D637" s="1" t="s">
        <v>2720</v>
      </c>
      <c r="E637" s="65" t="s">
        <v>2721</v>
      </c>
      <c r="F637" s="12" t="s">
        <v>2722</v>
      </c>
      <c r="G637" s="11" t="s">
        <v>1258</v>
      </c>
      <c r="H637" s="11" t="s">
        <v>1177</v>
      </c>
      <c r="I637" s="11" t="s">
        <v>2122</v>
      </c>
      <c r="J637" s="13">
        <v>45219</v>
      </c>
      <c r="K637" s="13">
        <v>45366</v>
      </c>
      <c r="L637" s="11" t="s">
        <v>1207</v>
      </c>
      <c r="M637" s="33" t="str">
        <f>IF(ISNA(VLOOKUP(D637,'[3]Table APOQUA files'!$B:$B,1,FALSE)),"NO","YES")</f>
        <v>NO</v>
      </c>
      <c r="N637" s="33" t="str">
        <f>IF(ISNA(VLOOKUP(D637,'Base PFR table'!K:K,1,FALSE)),"NO","YES")</f>
        <v>YES</v>
      </c>
      <c r="O637" s="35" t="s">
        <v>2858</v>
      </c>
      <c r="P637" s="35" t="s">
        <v>2858</v>
      </c>
    </row>
    <row r="638" spans="3:18" ht="15" customHeight="1" x14ac:dyDescent="0.25">
      <c r="C638" s="83" t="s">
        <v>2087</v>
      </c>
      <c r="D638" s="1" t="s">
        <v>2727</v>
      </c>
      <c r="E638" s="65" t="s">
        <v>2728</v>
      </c>
      <c r="F638" s="12" t="s">
        <v>2729</v>
      </c>
      <c r="G638" s="11" t="s">
        <v>1342</v>
      </c>
      <c r="H638" s="11" t="s">
        <v>1170</v>
      </c>
      <c r="I638" s="11" t="s">
        <v>2132</v>
      </c>
      <c r="J638" s="13">
        <v>45219</v>
      </c>
      <c r="K638" s="13">
        <v>45425</v>
      </c>
      <c r="L638" s="11" t="s">
        <v>1207</v>
      </c>
      <c r="M638" s="33" t="str">
        <f>IF(ISNA(VLOOKUP(D638,'[3]Table APOQUA files'!$B:$B,1,FALSE)),"NO","YES")</f>
        <v>NO</v>
      </c>
      <c r="N638" s="33" t="str">
        <f>IF(ISNA(VLOOKUP(D638,'Base PFR table'!K:K,1,FALSE)),"NO","YES")</f>
        <v>YES</v>
      </c>
      <c r="O638" s="35" t="s">
        <v>2858</v>
      </c>
      <c r="P638" s="35" t="s">
        <v>2858</v>
      </c>
    </row>
    <row r="639" spans="3:18" ht="15" customHeight="1" x14ac:dyDescent="0.25">
      <c r="C639" s="83" t="s">
        <v>2087</v>
      </c>
      <c r="D639" s="1" t="s">
        <v>2735</v>
      </c>
      <c r="E639" s="65" t="s">
        <v>2736</v>
      </c>
      <c r="F639" s="12" t="s">
        <v>2737</v>
      </c>
      <c r="G639" s="11" t="s">
        <v>1726</v>
      </c>
      <c r="H639" s="11" t="s">
        <v>1173</v>
      </c>
      <c r="I639" s="11" t="s">
        <v>1186</v>
      </c>
      <c r="J639" s="13">
        <v>45219</v>
      </c>
      <c r="K639" s="13">
        <v>45425</v>
      </c>
      <c r="L639" s="11" t="s">
        <v>1207</v>
      </c>
      <c r="M639" s="33" t="str">
        <f>IF(ISNA(VLOOKUP(D639,'[3]Table APOQUA files'!$B:$B,1,FALSE)),"NO","YES")</f>
        <v>NO</v>
      </c>
      <c r="N639" s="33" t="str">
        <f>IF(ISNA(VLOOKUP(D639,'Base PFR table'!K:K,1,FALSE)),"NO","YES")</f>
        <v>YES</v>
      </c>
      <c r="O639" s="35" t="s">
        <v>2858</v>
      </c>
      <c r="P639" s="35" t="s">
        <v>2858</v>
      </c>
    </row>
    <row r="640" spans="3:18" ht="15" customHeight="1" x14ac:dyDescent="0.25">
      <c r="C640" s="83" t="s">
        <v>2087</v>
      </c>
      <c r="D640" s="1" t="s">
        <v>2742</v>
      </c>
      <c r="E640" s="65" t="s">
        <v>2743</v>
      </c>
      <c r="F640" s="12" t="s">
        <v>2744</v>
      </c>
      <c r="G640" s="11" t="s">
        <v>1206</v>
      </c>
      <c r="H640" s="11" t="s">
        <v>593</v>
      </c>
      <c r="I640" s="11" t="s">
        <v>2122</v>
      </c>
      <c r="J640" s="13">
        <v>45219</v>
      </c>
      <c r="K640" s="13">
        <v>45357</v>
      </c>
      <c r="L640" s="11" t="s">
        <v>1207</v>
      </c>
      <c r="M640" s="33" t="str">
        <f>IF(ISNA(VLOOKUP(D640,'[3]Table APOQUA files'!$B:$B,1,FALSE)),"NO","YES")</f>
        <v>NO</v>
      </c>
      <c r="N640" s="33" t="str">
        <f>IF(ISNA(VLOOKUP(D640,'Base PFR table'!K:K,1,FALSE)),"NO","YES")</f>
        <v>NO</v>
      </c>
      <c r="O640" s="35" t="s">
        <v>2858</v>
      </c>
      <c r="P640" s="35" t="s">
        <v>2858</v>
      </c>
    </row>
    <row r="641" spans="1:16" ht="15" customHeight="1" x14ac:dyDescent="0.25">
      <c r="C641" s="83" t="s">
        <v>2087</v>
      </c>
      <c r="D641" s="1" t="s">
        <v>2734</v>
      </c>
      <c r="E641" s="65" t="s">
        <v>2745</v>
      </c>
      <c r="F641" s="12" t="s">
        <v>2746</v>
      </c>
      <c r="G641" s="11" t="s">
        <v>1211</v>
      </c>
      <c r="H641" s="11" t="s">
        <v>1169</v>
      </c>
      <c r="I641" s="11" t="s">
        <v>2125</v>
      </c>
      <c r="J641" s="13">
        <v>45219</v>
      </c>
      <c r="K641" s="13">
        <v>45638</v>
      </c>
      <c r="L641" s="11" t="s">
        <v>1207</v>
      </c>
      <c r="M641" s="33" t="str">
        <f>IF(ISNA(VLOOKUP(D641,'[3]Table APOQUA files'!$B:$B,1,FALSE)),"NO","YES")</f>
        <v>NO</v>
      </c>
      <c r="N641" s="33" t="str">
        <f>IF(ISNA(VLOOKUP(D641,'Base PFR table'!K:K,1,FALSE)),"NO","YES")</f>
        <v>YES</v>
      </c>
      <c r="O641" s="35" t="s">
        <v>2858</v>
      </c>
      <c r="P641" s="35" t="s">
        <v>2858</v>
      </c>
    </row>
    <row r="642" spans="1:16" ht="15" customHeight="1" x14ac:dyDescent="0.25">
      <c r="C642" s="83" t="s">
        <v>2087</v>
      </c>
      <c r="D642" s="1" t="s">
        <v>2751</v>
      </c>
      <c r="E642" s="65" t="s">
        <v>2752</v>
      </c>
      <c r="F642" s="12" t="s">
        <v>2753</v>
      </c>
      <c r="G642" s="11" t="s">
        <v>1434</v>
      </c>
      <c r="H642" s="11" t="s">
        <v>1174</v>
      </c>
      <c r="I642" s="11" t="s">
        <v>2133</v>
      </c>
      <c r="J642" s="13">
        <v>45219</v>
      </c>
      <c r="K642" s="13">
        <v>45568</v>
      </c>
      <c r="L642" s="11" t="s">
        <v>1207</v>
      </c>
      <c r="M642" s="33" t="str">
        <f>IF(ISNA(VLOOKUP(D642,'[3]Table APOQUA files'!$B:$B,1,FALSE)),"NO","YES")</f>
        <v>NO</v>
      </c>
      <c r="N642" s="33" t="str">
        <f>IF(ISNA(VLOOKUP(D642,'Base PFR table'!K:K,1,FALSE)),"NO","YES")</f>
        <v>YES</v>
      </c>
      <c r="O642" s="35" t="s">
        <v>2858</v>
      </c>
      <c r="P642" s="35" t="s">
        <v>2858</v>
      </c>
    </row>
    <row r="643" spans="1:16" ht="15" customHeight="1" x14ac:dyDescent="0.25">
      <c r="C643" s="68" t="s">
        <v>2087</v>
      </c>
      <c r="D643" s="1" t="s">
        <v>2757</v>
      </c>
      <c r="E643" s="65" t="s">
        <v>2758</v>
      </c>
      <c r="F643" s="12" t="s">
        <v>2759</v>
      </c>
      <c r="G643" s="11"/>
      <c r="H643" s="11"/>
      <c r="I643" s="11"/>
      <c r="J643" s="13"/>
      <c r="K643" s="13"/>
      <c r="L643" s="11" t="s">
        <v>1487</v>
      </c>
      <c r="M643" s="33" t="str">
        <f>IF(ISNA(VLOOKUP(D643,'[3]Table APOQUA files'!$B:$B,1,FALSE)),"NO","YES")</f>
        <v>NO</v>
      </c>
      <c r="N643" s="33" t="str">
        <f>IF(ISNA(VLOOKUP(D643,'Base PFR table'!K:K,1,FALSE)),"NO","YES")</f>
        <v>NO</v>
      </c>
      <c r="O643" s="35" t="s">
        <v>2858</v>
      </c>
      <c r="P643" s="35" t="s">
        <v>2858</v>
      </c>
    </row>
    <row r="644" spans="1:16" s="18" customFormat="1" ht="15" customHeight="1" x14ac:dyDescent="0.25">
      <c r="A644" s="3"/>
      <c r="B644" s="3"/>
      <c r="C644" s="35"/>
      <c r="D644" s="67"/>
      <c r="E644" s="95"/>
      <c r="G644" s="67"/>
      <c r="H644" s="67"/>
      <c r="I644" s="67"/>
      <c r="J644" s="67"/>
      <c r="K644" s="67"/>
      <c r="M644" s="55"/>
      <c r="N644" s="95"/>
    </row>
    <row r="645" spans="1:16" s="18" customFormat="1" ht="15" customHeight="1" x14ac:dyDescent="0.25">
      <c r="A645" s="3"/>
      <c r="B645" s="3"/>
      <c r="C645" s="35"/>
      <c r="D645" s="67"/>
      <c r="E645" s="95"/>
      <c r="G645" s="67"/>
      <c r="H645" s="67"/>
      <c r="I645" s="67"/>
      <c r="J645" s="67"/>
      <c r="K645" s="67"/>
      <c r="M645" s="55"/>
      <c r="N645" s="95"/>
    </row>
    <row r="646" spans="1:16" s="18" customFormat="1" ht="15" customHeight="1" x14ac:dyDescent="0.25">
      <c r="A646" s="3"/>
      <c r="B646" s="3"/>
      <c r="C646" s="35"/>
      <c r="D646" s="67"/>
      <c r="E646" s="95"/>
      <c r="G646" s="67"/>
      <c r="H646" s="67"/>
      <c r="I646" s="67"/>
      <c r="J646" s="67"/>
      <c r="K646" s="67"/>
      <c r="M646" s="55"/>
      <c r="N646" s="95"/>
    </row>
    <row r="647" spans="1:16" s="18" customFormat="1" ht="15" customHeight="1" x14ac:dyDescent="0.25">
      <c r="A647" s="3"/>
      <c r="B647" s="3"/>
      <c r="C647" s="35"/>
      <c r="D647" s="67"/>
      <c r="E647" s="95"/>
      <c r="G647" s="67"/>
      <c r="H647" s="67"/>
      <c r="I647" s="67"/>
      <c r="J647" s="67"/>
      <c r="K647" s="67"/>
      <c r="M647" s="55"/>
      <c r="N647" s="95"/>
    </row>
    <row r="648" spans="1:16" s="18" customFormat="1" ht="15" customHeight="1" x14ac:dyDescent="0.25">
      <c r="A648" s="3"/>
      <c r="B648" s="3"/>
      <c r="C648" s="35"/>
      <c r="D648" s="67"/>
      <c r="E648" s="95"/>
      <c r="G648" s="67"/>
      <c r="H648" s="67"/>
      <c r="I648" s="67"/>
      <c r="J648" s="67"/>
      <c r="K648" s="67"/>
      <c r="M648" s="55"/>
      <c r="N648" s="95"/>
    </row>
    <row r="649" spans="1:16" s="18" customFormat="1" ht="15" customHeight="1" x14ac:dyDescent="0.25">
      <c r="A649" s="3"/>
      <c r="B649" s="3"/>
      <c r="C649" s="35"/>
      <c r="D649" s="67"/>
      <c r="E649" s="95"/>
      <c r="G649" s="67"/>
      <c r="H649" s="67"/>
      <c r="I649" s="67"/>
      <c r="J649" s="67"/>
      <c r="K649" s="67"/>
      <c r="M649" s="55"/>
      <c r="N649" s="95"/>
    </row>
    <row r="650" spans="1:16" s="18" customFormat="1" ht="15" customHeight="1" x14ac:dyDescent="0.25">
      <c r="A650" s="3"/>
      <c r="B650" s="3"/>
      <c r="C650" s="35"/>
      <c r="D650" s="67"/>
      <c r="E650" s="95"/>
      <c r="G650" s="67"/>
      <c r="H650" s="67"/>
      <c r="I650" s="67"/>
      <c r="J650" s="67"/>
      <c r="K650" s="67"/>
      <c r="M650" s="55"/>
      <c r="N650" s="95"/>
    </row>
    <row r="651" spans="1:16" s="18" customFormat="1" ht="15" customHeight="1" x14ac:dyDescent="0.25">
      <c r="A651" s="3"/>
      <c r="B651" s="3"/>
      <c r="C651" s="35"/>
      <c r="D651" s="67"/>
      <c r="E651" s="95"/>
      <c r="G651" s="67"/>
      <c r="H651" s="67"/>
      <c r="I651" s="67"/>
      <c r="J651" s="67"/>
      <c r="K651" s="67"/>
      <c r="M651" s="55"/>
      <c r="N651" s="95"/>
    </row>
    <row r="652" spans="1:16" s="18" customFormat="1" ht="15" customHeight="1" x14ac:dyDescent="0.25">
      <c r="A652" s="3"/>
      <c r="B652" s="3"/>
      <c r="C652" s="35"/>
      <c r="D652" s="67"/>
      <c r="E652" s="95"/>
      <c r="G652" s="67"/>
      <c r="H652" s="67"/>
      <c r="I652" s="67"/>
      <c r="J652" s="67"/>
      <c r="K652" s="67"/>
      <c r="M652" s="55"/>
      <c r="N652" s="95"/>
    </row>
    <row r="653" spans="1:16" s="18" customFormat="1" ht="15" customHeight="1" x14ac:dyDescent="0.25">
      <c r="A653" s="3"/>
      <c r="B653" s="3"/>
      <c r="C653" s="35"/>
      <c r="D653" s="67"/>
      <c r="E653" s="95"/>
      <c r="G653" s="67"/>
      <c r="H653" s="67"/>
      <c r="I653" s="67"/>
      <c r="J653" s="67"/>
      <c r="K653" s="67"/>
      <c r="M653" s="55"/>
      <c r="N653" s="95"/>
    </row>
    <row r="654" spans="1:16" s="18" customFormat="1" ht="15" customHeight="1" x14ac:dyDescent="0.25">
      <c r="A654" s="3"/>
      <c r="B654" s="3"/>
      <c r="C654" s="35"/>
      <c r="D654" s="67"/>
      <c r="E654" s="95"/>
      <c r="G654" s="67"/>
      <c r="H654" s="67"/>
      <c r="I654" s="67"/>
      <c r="J654" s="67"/>
      <c r="K654" s="67"/>
      <c r="M654" s="55"/>
      <c r="N654" s="95"/>
    </row>
    <row r="655" spans="1:16" s="18" customFormat="1" ht="15" customHeight="1" x14ac:dyDescent="0.25">
      <c r="A655" s="3"/>
      <c r="B655" s="3"/>
      <c r="C655" s="35"/>
      <c r="D655" s="67"/>
      <c r="E655" s="95"/>
      <c r="G655" s="67"/>
      <c r="H655" s="67"/>
      <c r="I655" s="67"/>
      <c r="J655" s="67"/>
      <c r="K655" s="67"/>
      <c r="M655" s="55"/>
      <c r="N655" s="95"/>
    </row>
    <row r="656" spans="1:16" s="18" customFormat="1" ht="15" customHeight="1" x14ac:dyDescent="0.25">
      <c r="A656" s="3"/>
      <c r="B656" s="3"/>
      <c r="C656" s="35"/>
      <c r="D656" s="67"/>
      <c r="E656" s="95"/>
      <c r="G656" s="67"/>
      <c r="H656" s="67"/>
      <c r="I656" s="67"/>
      <c r="J656" s="67"/>
      <c r="K656" s="67"/>
      <c r="M656" s="55"/>
      <c r="N656" s="95"/>
    </row>
    <row r="657" spans="1:14" s="18" customFormat="1" ht="15" customHeight="1" x14ac:dyDescent="0.25">
      <c r="A657" s="3"/>
      <c r="B657" s="3"/>
      <c r="C657" s="35"/>
      <c r="D657" s="67"/>
      <c r="E657" s="95"/>
      <c r="G657" s="67"/>
      <c r="H657" s="67"/>
      <c r="I657" s="67"/>
      <c r="J657" s="67"/>
      <c r="K657" s="67"/>
      <c r="M657" s="55"/>
      <c r="N657" s="95"/>
    </row>
    <row r="658" spans="1:14" s="18" customFormat="1" ht="15" customHeight="1" x14ac:dyDescent="0.25">
      <c r="A658" s="3"/>
      <c r="B658" s="3"/>
      <c r="C658" s="35"/>
      <c r="D658" s="67"/>
      <c r="E658" s="95"/>
      <c r="G658" s="67"/>
      <c r="H658" s="67"/>
      <c r="I658" s="67"/>
      <c r="J658" s="67"/>
      <c r="K658" s="67"/>
      <c r="M658" s="55"/>
      <c r="N658" s="95"/>
    </row>
    <row r="659" spans="1:14" s="18" customFormat="1" ht="15" customHeight="1" x14ac:dyDescent="0.25">
      <c r="A659" s="3"/>
      <c r="B659" s="3"/>
      <c r="C659" s="35"/>
      <c r="D659" s="67"/>
      <c r="E659" s="95"/>
      <c r="G659" s="67"/>
      <c r="H659" s="67"/>
      <c r="I659" s="67"/>
      <c r="J659" s="67"/>
      <c r="K659" s="67"/>
      <c r="M659" s="55"/>
      <c r="N659" s="95"/>
    </row>
    <row r="660" spans="1:14" s="18" customFormat="1" ht="15" customHeight="1" x14ac:dyDescent="0.25">
      <c r="A660" s="3"/>
      <c r="B660" s="3"/>
      <c r="C660" s="35"/>
      <c r="D660" s="67"/>
      <c r="E660" s="95"/>
      <c r="G660" s="67"/>
      <c r="H660" s="67"/>
      <c r="I660" s="67"/>
      <c r="J660" s="67"/>
      <c r="K660" s="67"/>
      <c r="M660" s="55"/>
      <c r="N660" s="95"/>
    </row>
    <row r="661" spans="1:14" s="18" customFormat="1" ht="15" customHeight="1" x14ac:dyDescent="0.25">
      <c r="A661" s="3"/>
      <c r="B661" s="3"/>
      <c r="C661" s="35"/>
      <c r="D661" s="67"/>
      <c r="E661" s="95"/>
      <c r="G661" s="67"/>
      <c r="H661" s="67"/>
      <c r="I661" s="67"/>
      <c r="J661" s="67"/>
      <c r="K661" s="67"/>
      <c r="M661" s="55"/>
      <c r="N661" s="95"/>
    </row>
    <row r="662" spans="1:14" s="18" customFormat="1" ht="15" customHeight="1" x14ac:dyDescent="0.25">
      <c r="A662" s="3"/>
      <c r="B662" s="3"/>
      <c r="C662" s="35"/>
      <c r="D662" s="67"/>
      <c r="E662" s="95"/>
      <c r="G662" s="67"/>
      <c r="H662" s="67"/>
      <c r="I662" s="67"/>
      <c r="J662" s="67"/>
      <c r="K662" s="67"/>
      <c r="M662" s="55"/>
      <c r="N662" s="95"/>
    </row>
    <row r="663" spans="1:14" s="18" customFormat="1" ht="15" customHeight="1" x14ac:dyDescent="0.25">
      <c r="A663" s="3"/>
      <c r="B663" s="3"/>
      <c r="C663" s="35"/>
      <c r="D663" s="67"/>
      <c r="E663" s="95"/>
      <c r="G663" s="67"/>
      <c r="H663" s="67"/>
      <c r="I663" s="67"/>
      <c r="J663" s="67"/>
      <c r="K663" s="67"/>
      <c r="M663" s="55"/>
      <c r="N663" s="95"/>
    </row>
    <row r="664" spans="1:14" s="18" customFormat="1" ht="15" customHeight="1" x14ac:dyDescent="0.25">
      <c r="A664" s="3"/>
      <c r="B664" s="3"/>
      <c r="C664" s="35"/>
      <c r="D664" s="67"/>
      <c r="E664" s="95"/>
      <c r="G664" s="67"/>
      <c r="H664" s="67"/>
      <c r="I664" s="67"/>
      <c r="J664" s="67"/>
      <c r="K664" s="67"/>
      <c r="M664" s="55"/>
      <c r="N664" s="95"/>
    </row>
    <row r="665" spans="1:14" s="18" customFormat="1" ht="15" customHeight="1" x14ac:dyDescent="0.25">
      <c r="A665" s="3"/>
      <c r="B665" s="3"/>
      <c r="C665" s="35"/>
      <c r="D665" s="67"/>
      <c r="E665" s="95"/>
      <c r="G665" s="67"/>
      <c r="H665" s="67"/>
      <c r="I665" s="67"/>
      <c r="J665" s="67"/>
      <c r="K665" s="67"/>
      <c r="M665" s="55"/>
      <c r="N665" s="95"/>
    </row>
    <row r="666" spans="1:14" s="18" customFormat="1" ht="15" customHeight="1" x14ac:dyDescent="0.25">
      <c r="A666" s="3"/>
      <c r="B666" s="3"/>
      <c r="C666" s="35"/>
      <c r="D666" s="67"/>
      <c r="E666" s="95"/>
      <c r="G666" s="67"/>
      <c r="H666" s="67"/>
      <c r="I666" s="67"/>
      <c r="J666" s="67"/>
      <c r="K666" s="67"/>
      <c r="M666" s="55"/>
      <c r="N666" s="95"/>
    </row>
    <row r="667" spans="1:14" s="18" customFormat="1" ht="15" customHeight="1" x14ac:dyDescent="0.25">
      <c r="A667" s="3"/>
      <c r="B667" s="3"/>
      <c r="C667" s="35"/>
      <c r="D667" s="67"/>
      <c r="E667" s="95"/>
      <c r="G667" s="67"/>
      <c r="H667" s="67"/>
      <c r="I667" s="67"/>
      <c r="J667" s="67"/>
      <c r="K667" s="67"/>
      <c r="M667" s="55"/>
      <c r="N667" s="95"/>
    </row>
    <row r="668" spans="1:14" s="18" customFormat="1" ht="15" customHeight="1" x14ac:dyDescent="0.25">
      <c r="A668" s="3"/>
      <c r="B668" s="3"/>
      <c r="C668" s="35"/>
      <c r="D668" s="67"/>
      <c r="E668" s="95"/>
      <c r="G668" s="67"/>
      <c r="H668" s="67"/>
      <c r="I668" s="67"/>
      <c r="J668" s="67"/>
      <c r="K668" s="67"/>
      <c r="M668" s="55"/>
      <c r="N668" s="95"/>
    </row>
    <row r="669" spans="1:14" s="18" customFormat="1" ht="15" customHeight="1" x14ac:dyDescent="0.25">
      <c r="A669" s="3"/>
      <c r="B669" s="3"/>
      <c r="C669" s="35"/>
      <c r="D669" s="67"/>
      <c r="E669" s="95"/>
      <c r="G669" s="67"/>
      <c r="H669" s="67"/>
      <c r="I669" s="67"/>
      <c r="J669" s="67"/>
      <c r="K669" s="67"/>
      <c r="M669" s="55"/>
      <c r="N669" s="95"/>
    </row>
    <row r="670" spans="1:14" s="18" customFormat="1" ht="15" customHeight="1" x14ac:dyDescent="0.25">
      <c r="A670" s="3"/>
      <c r="B670" s="3"/>
      <c r="C670" s="35"/>
      <c r="D670" s="67"/>
      <c r="E670" s="95"/>
      <c r="G670" s="67"/>
      <c r="H670" s="67"/>
      <c r="I670" s="67"/>
      <c r="J670" s="67"/>
      <c r="K670" s="67"/>
      <c r="M670" s="55"/>
      <c r="N670" s="95"/>
    </row>
    <row r="671" spans="1:14" s="18" customFormat="1" ht="15" customHeight="1" x14ac:dyDescent="0.25">
      <c r="A671" s="3"/>
      <c r="B671" s="3"/>
      <c r="C671" s="35"/>
      <c r="D671" s="67"/>
      <c r="E671" s="95"/>
      <c r="G671" s="67"/>
      <c r="H671" s="67"/>
      <c r="I671" s="67"/>
      <c r="J671" s="67"/>
      <c r="K671" s="67"/>
      <c r="M671" s="55"/>
      <c r="N671" s="95"/>
    </row>
    <row r="672" spans="1:14" s="18" customFormat="1" ht="15" customHeight="1" x14ac:dyDescent="0.25">
      <c r="A672" s="3"/>
      <c r="B672" s="3"/>
      <c r="C672" s="35"/>
      <c r="D672" s="67"/>
      <c r="E672" s="95"/>
      <c r="G672" s="67"/>
      <c r="H672" s="67"/>
      <c r="I672" s="67"/>
      <c r="J672" s="67"/>
      <c r="K672" s="67"/>
      <c r="M672" s="55"/>
      <c r="N672" s="95"/>
    </row>
    <row r="673" spans="1:14" s="18" customFormat="1" ht="15" customHeight="1" x14ac:dyDescent="0.25">
      <c r="A673" s="3"/>
      <c r="B673" s="3"/>
      <c r="C673" s="35"/>
      <c r="D673" s="67"/>
      <c r="E673" s="95"/>
      <c r="G673" s="67"/>
      <c r="H673" s="67"/>
      <c r="I673" s="67"/>
      <c r="J673" s="67"/>
      <c r="K673" s="67"/>
      <c r="M673" s="55"/>
      <c r="N673" s="95"/>
    </row>
    <row r="674" spans="1:14" s="18" customFormat="1" ht="15" customHeight="1" x14ac:dyDescent="0.25">
      <c r="A674" s="3"/>
      <c r="B674" s="3"/>
      <c r="C674" s="35"/>
      <c r="D674" s="67"/>
      <c r="E674" s="95"/>
      <c r="G674" s="67"/>
      <c r="H674" s="67"/>
      <c r="I674" s="67"/>
      <c r="J674" s="67"/>
      <c r="K674" s="67"/>
      <c r="M674" s="55"/>
      <c r="N674" s="95"/>
    </row>
    <row r="675" spans="1:14" s="18" customFormat="1" ht="15" customHeight="1" x14ac:dyDescent="0.25">
      <c r="A675" s="3"/>
      <c r="B675" s="3"/>
      <c r="C675" s="35"/>
      <c r="D675" s="67"/>
      <c r="E675" s="95"/>
      <c r="G675" s="67"/>
      <c r="H675" s="67"/>
      <c r="I675" s="67"/>
      <c r="J675" s="67"/>
      <c r="K675" s="67"/>
      <c r="M675" s="55"/>
      <c r="N675" s="95"/>
    </row>
    <row r="676" spans="1:14" s="18" customFormat="1" ht="15" customHeight="1" x14ac:dyDescent="0.25">
      <c r="A676" s="3"/>
      <c r="B676" s="3"/>
      <c r="C676" s="35"/>
      <c r="D676" s="67"/>
      <c r="E676" s="95"/>
      <c r="G676" s="67"/>
      <c r="H676" s="67"/>
      <c r="I676" s="67"/>
      <c r="J676" s="67"/>
      <c r="K676" s="67"/>
      <c r="M676" s="55"/>
      <c r="N676" s="95"/>
    </row>
    <row r="677" spans="1:14" s="18" customFormat="1" ht="15" customHeight="1" x14ac:dyDescent="0.25">
      <c r="A677" s="3"/>
      <c r="B677" s="3"/>
      <c r="C677" s="35"/>
      <c r="D677" s="67"/>
      <c r="E677" s="95"/>
      <c r="G677" s="67"/>
      <c r="H677" s="67"/>
      <c r="I677" s="67"/>
      <c r="J677" s="67"/>
      <c r="K677" s="67"/>
      <c r="M677" s="55"/>
      <c r="N677" s="95"/>
    </row>
    <row r="678" spans="1:14" ht="15" customHeight="1" x14ac:dyDescent="0.25"/>
    <row r="679" spans="1:14" ht="15" customHeight="1" x14ac:dyDescent="0.25"/>
    <row r="680" spans="1:14" ht="15" customHeight="1" x14ac:dyDescent="0.25"/>
    <row r="681" spans="1:14" ht="15" customHeight="1" x14ac:dyDescent="0.25"/>
    <row r="682" spans="1:14" ht="15" customHeight="1" x14ac:dyDescent="0.25"/>
    <row r="683" spans="1:14" ht="15" customHeight="1" x14ac:dyDescent="0.25"/>
    <row r="684" spans="1:14" ht="15" customHeight="1" x14ac:dyDescent="0.25"/>
    <row r="685" spans="1:14" ht="15" customHeight="1" x14ac:dyDescent="0.25"/>
    <row r="686" spans="1:14" ht="15" customHeight="1" x14ac:dyDescent="0.25"/>
    <row r="687" spans="1:14" ht="15" customHeight="1" x14ac:dyDescent="0.25"/>
    <row r="688" spans="1:14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</sheetData>
  <autoFilter ref="D2:P643"/>
  <mergeCells count="2">
    <mergeCell ref="J1:L1"/>
    <mergeCell ref="E1:I1"/>
  </mergeCells>
  <phoneticPr fontId="9" type="noConversion"/>
  <conditionalFormatting sqref="D252:G252">
    <cfRule type="expression" dxfId="55" priority="174">
      <formula>($L252="canceled")</formula>
    </cfRule>
    <cfRule type="expression" dxfId="54" priority="173">
      <formula>($L252="non applicable")</formula>
    </cfRule>
  </conditionalFormatting>
  <conditionalFormatting sqref="D595:H596">
    <cfRule type="expression" dxfId="53" priority="301">
      <formula>($L595="non applicable")</formula>
    </cfRule>
    <cfRule type="expression" dxfId="52" priority="302">
      <formula>($L595="canceled")</formula>
    </cfRule>
  </conditionalFormatting>
  <conditionalFormatting sqref="D454:I457">
    <cfRule type="expression" dxfId="51" priority="230">
      <formula>($L454="canceled")</formula>
    </cfRule>
    <cfRule type="expression" dxfId="50" priority="229">
      <formula>($L454="non applicable")</formula>
    </cfRule>
  </conditionalFormatting>
  <conditionalFormatting sqref="D194:J196">
    <cfRule type="expression" dxfId="49" priority="143">
      <formula>($L194="non applicable")</formula>
    </cfRule>
    <cfRule type="expression" dxfId="48" priority="144">
      <formula>($L194="canceled")</formula>
    </cfRule>
  </conditionalFormatting>
  <conditionalFormatting sqref="D130:K130">
    <cfRule type="expression" dxfId="47" priority="61">
      <formula>($L130="non applicable")</formula>
    </cfRule>
    <cfRule type="expression" dxfId="46" priority="62">
      <formula>($L130="canceled")</formula>
    </cfRule>
  </conditionalFormatting>
  <conditionalFormatting sqref="D155:K155">
    <cfRule type="expression" dxfId="45" priority="145">
      <formula>($L155="non applicable")</formula>
    </cfRule>
    <cfRule type="expression" dxfId="44" priority="146">
      <formula>($L155="canceled")</formula>
    </cfRule>
  </conditionalFormatting>
  <conditionalFormatting sqref="D181:K181">
    <cfRule type="expression" dxfId="43" priority="151">
      <formula>($L181="non applicable")</formula>
    </cfRule>
    <cfRule type="expression" dxfId="42" priority="152">
      <formula>($L181="canceled")</formula>
    </cfRule>
  </conditionalFormatting>
  <conditionalFormatting sqref="D3:L3 I6 I10 I19 I29:I31 I39 I42:I44 I47:I48 I74 I78:I79 I88 I91 I95 I98 I108 I118 I125 I135 I156 I169:I170 I177 I187 I191 I199 I217 I222:I223 I239 I261:I263 I278 I286 I288 I299 I314:I315 I318 I325 I347 I354 I383 I409 I459 I472 I479 I497 I512 I524 I531 I533:I534 I552 I579:I580 I583:I584 I588 I592 I606">
    <cfRule type="expression" dxfId="41" priority="311">
      <formula>"$K3=""non applicable"""</formula>
    </cfRule>
  </conditionalFormatting>
  <conditionalFormatting sqref="D3:L129 D131:L154">
    <cfRule type="expression" dxfId="40" priority="5">
      <formula>($L3="non applicable")</formula>
    </cfRule>
    <cfRule type="expression" dxfId="39" priority="6">
      <formula>($L3="canceled")</formula>
    </cfRule>
  </conditionalFormatting>
  <conditionalFormatting sqref="D182:L193">
    <cfRule type="expression" dxfId="38" priority="133">
      <formula>($L182="non applicable")</formula>
    </cfRule>
    <cfRule type="expression" dxfId="37" priority="134">
      <formula>($L182="canceled")</formula>
    </cfRule>
  </conditionalFormatting>
  <conditionalFormatting sqref="D198:L251">
    <cfRule type="expression" dxfId="36" priority="163">
      <formula>($L198="non applicable")</formula>
    </cfRule>
    <cfRule type="expression" dxfId="35" priority="164">
      <formula>($L198="canceled")</formula>
    </cfRule>
  </conditionalFormatting>
  <conditionalFormatting sqref="D253:L453">
    <cfRule type="expression" dxfId="34" priority="2">
      <formula>($L253="canceled")</formula>
    </cfRule>
    <cfRule type="expression" dxfId="33" priority="1">
      <formula>($L253="non applicable")</formula>
    </cfRule>
  </conditionalFormatting>
  <conditionalFormatting sqref="D459:L594">
    <cfRule type="expression" dxfId="32" priority="11">
      <formula>($L459="non applicable")</formula>
    </cfRule>
    <cfRule type="expression" dxfId="31" priority="12">
      <formula>($L459="canceled")</formula>
    </cfRule>
  </conditionalFormatting>
  <conditionalFormatting sqref="E598:E603">
    <cfRule type="expression" dxfId="30" priority="307">
      <formula>($L598="non applicable")</formula>
    </cfRule>
    <cfRule type="expression" dxfId="29" priority="308">
      <formula>($L598="canceled")</formula>
    </cfRule>
  </conditionalFormatting>
  <conditionalFormatting sqref="E607:L632">
    <cfRule type="expression" dxfId="28" priority="19">
      <formula>($L607="non applicable")</formula>
    </cfRule>
    <cfRule type="expression" dxfId="27" priority="20">
      <formula>($L607="canceled")</formula>
    </cfRule>
  </conditionalFormatting>
  <conditionalFormatting sqref="F597:G603">
    <cfRule type="expression" dxfId="26" priority="23">
      <formula>($L597="non applicable")</formula>
    </cfRule>
    <cfRule type="expression" dxfId="25" priority="24">
      <formula>($L597="canceled")</formula>
    </cfRule>
  </conditionalFormatting>
  <conditionalFormatting sqref="H597:H604">
    <cfRule type="expression" dxfId="24" priority="45">
      <formula>($L597="non applicable")</formula>
    </cfRule>
    <cfRule type="expression" dxfId="23" priority="46">
      <formula>($L597="canceled")</formula>
    </cfRule>
  </conditionalFormatting>
  <conditionalFormatting sqref="H606">
    <cfRule type="expression" dxfId="22" priority="31">
      <formula>($L606="non applicable")</formula>
    </cfRule>
    <cfRule type="expression" dxfId="21" priority="32">
      <formula>($L606="canceled")</formula>
    </cfRule>
  </conditionalFormatting>
  <conditionalFormatting sqref="I6 I10 I19 I39 I42:I44 I47:I48 I74 I78:I79 I88 I91 I95 I98 I108 I118 I135 I156 I169:I170 I177 I187 I191 I199 I217 I222:I223 I239 I261:I263 I278 I286 I288 I299 I314:I315 I318 I325 I347 I354 I383 I409 I459 I479 I497 I512 I524 I531 I533:I534 I552 I579:I580 I583:I584 I588 I592">
    <cfRule type="expression" dxfId="20" priority="312">
      <formula>($L6="canceled")</formula>
    </cfRule>
  </conditionalFormatting>
  <conditionalFormatting sqref="I595:I606">
    <cfRule type="expression" dxfId="19" priority="103">
      <formula>($L595="non applicable")</formula>
    </cfRule>
    <cfRule type="expression" dxfId="18" priority="104">
      <formula>($L595="canceled")</formula>
    </cfRule>
  </conditionalFormatting>
  <conditionalFormatting sqref="J454:L456">
    <cfRule type="expression" dxfId="17" priority="226">
      <formula>($L454="canceled")</formula>
    </cfRule>
    <cfRule type="expression" dxfId="16" priority="225">
      <formula>($L454="non applicable")</formula>
    </cfRule>
  </conditionalFormatting>
  <conditionalFormatting sqref="K196">
    <cfRule type="expression" dxfId="15" priority="217">
      <formula>($L196="non applicable")</formula>
    </cfRule>
    <cfRule type="expression" dxfId="14" priority="218">
      <formula>($L196="canceled")</formula>
    </cfRule>
  </conditionalFormatting>
  <conditionalFormatting sqref="K597:K598">
    <cfRule type="expression" dxfId="13" priority="261">
      <formula>($L597="non applicable")</formula>
    </cfRule>
    <cfRule type="expression" dxfId="12" priority="262">
      <formula>($L597="canceled")</formula>
    </cfRule>
  </conditionalFormatting>
  <conditionalFormatting sqref="K194:L195">
    <cfRule type="expression" dxfId="11" priority="139">
      <formula>($L194="non applicable")</formula>
    </cfRule>
    <cfRule type="expression" dxfId="10" priority="140">
      <formula>($L194="canceled")</formula>
    </cfRule>
  </conditionalFormatting>
  <conditionalFormatting sqref="K252:L252">
    <cfRule type="expression" dxfId="9" priority="170">
      <formula>($L252="canceled")</formula>
    </cfRule>
    <cfRule type="expression" dxfId="8" priority="169">
      <formula>($L252="non applicable")</formula>
    </cfRule>
  </conditionalFormatting>
  <conditionalFormatting sqref="K599:L603">
    <cfRule type="expression" dxfId="7" priority="25">
      <formula>($L599="non applicable")</formula>
    </cfRule>
    <cfRule type="expression" dxfId="6" priority="26">
      <formula>($L599="canceled")</formula>
    </cfRule>
  </conditionalFormatting>
  <conditionalFormatting sqref="L130:L131 L155:L156 D156:L180 L181:L182 D197:K197 H252:J253 J457:K457 L457:L458 D458:K458 J595:L596 L596:L598 D597:E597 J597:J603 D598:D632 I633:I635">
    <cfRule type="expression" dxfId="5" priority="309">
      <formula>($L130="non applicable")</formula>
    </cfRule>
    <cfRule type="expression" dxfId="4" priority="310">
      <formula>($L130="canceled")</formula>
    </cfRule>
  </conditionalFormatting>
  <conditionalFormatting sqref="L196:L197">
    <cfRule type="expression" dxfId="3" priority="4">
      <formula>($L196="canceled")</formula>
    </cfRule>
    <cfRule type="expression" dxfId="2" priority="3">
      <formula>($L196="non applicable")</formula>
    </cfRule>
  </conditionalFormatting>
  <hyperlinks>
    <hyperlink ref="D575" r:id="rId1" display="http://docinfogroupe.inetpsa.com/ead/doc/ref.DPTA_DMOV06_0148/v.vc/fiche"/>
    <hyperlink ref="D565" r:id="rId2" display="http://docinfogroupe.inetpsa.com/ead/doc/ref.DPTA_DMOV06_0132/v.vc/fiche"/>
    <hyperlink ref="D538" r:id="rId3" display="http://docinfogroupe.inetpsa.com/ead/doc/ref.DPTA_DMOV06_0082/v.vc/fiche"/>
    <hyperlink ref="D577" r:id="rId4" display="http://docinfogroupe.inetpsa.com/ead/doc/ref.DPTA_DMOV06_0150/v.vc/fiche"/>
    <hyperlink ref="D571" r:id="rId5" display="http://docinfogroupe.inetpsa.com/ead/doc/ref.DPTA_DMOV06_0140/v.vc/fiche"/>
    <hyperlink ref="D557" r:id="rId6" display="http://docinfogroupe.inetpsa.com/ead/doc/ref.DPTA_DMOV06_0120/v.vc/fiche"/>
    <hyperlink ref="D576" r:id="rId7" display="http://docinfogroupe.inetpsa.com/ead/doc/ref.DPTA_DMOV06_0149/v.vc/fiche"/>
    <hyperlink ref="D51" r:id="rId8" display="http://docinfogroupe.inetpsa.com/ead/doc/ref.01266_12_00448/v.vc/fiche"/>
    <hyperlink ref="D266" r:id="rId9" display="http://docinfogroupe.inetpsa.com/ead/doc/ref.CMON_IMV08_0411/v.vc/fiche"/>
    <hyperlink ref="D350" r:id="rId10" display="http://docinfogroupe.inetpsa.com/ead/doc/ref.DITV_ATAT07_0099/v.vc/fiche"/>
    <hyperlink ref="D573" r:id="rId11" display="http://docinfogroupe.inetpsa.com/ead/doc/ref.DPTA_DMOV06_0145/v.vc/fiche"/>
    <hyperlink ref="D488" r:id="rId12" display="http://docinfogroupe.inetpsa.com/ead/doc/ref.DITV_ATAT07_0297/v.vc/fiche"/>
    <hyperlink ref="D508" r:id="rId13" display="http://docinfogroupe.inetpsa.com/ead/doc/ref.DPTA_DMOV05_0966/v.vc/fiche"/>
    <hyperlink ref="D584" r:id="rId14" display="http://docinfogroupe.inetpsa.com/ead/doc/ref.DPTA_DMOV06_0161/v.vc/fiche"/>
    <hyperlink ref="D392" r:id="rId15" display="http://docinfogroupe.inetpsa.com/ead/doc/ref.DITV_ATAT07_0159/v.vc/fiche"/>
    <hyperlink ref="D357" r:id="rId16" display="http://docinfogroupe.inetpsa.com/ead/doc/ref.DITV_ATAT07_0109/v.vc/fiche"/>
    <hyperlink ref="D318" r:id="rId17" display="http://docinfogroupe.inetpsa.com/ead/doc/ref.DITV_ATAT07_0061/v.vc/fiche"/>
    <hyperlink ref="D48" r:id="rId18" display="http://docinfogroupe.inetpsa.com/ead/doc/ref.01266_12_00386/v.vc/fiche"/>
    <hyperlink ref="D433" r:id="rId19" display="http://docinfogroupe.inetpsa.com/ead/doc/ref.DITV_ATAT07_0210/v.vc/fiche"/>
    <hyperlink ref="D317" r:id="rId20" display="http://docinfogroupe.inetpsa.com/ead/doc/ref.DITV_ATAT07_0060/v.vc/fiche"/>
    <hyperlink ref="D35" r:id="rId21" display="http://docinfogroupe.inetpsa.com/ead/doc/ref.01266_11_00203/v.vc/fiche"/>
    <hyperlink ref="D354" r:id="rId22" display="http://docinfogroupe.inetpsa.com/ead/doc/ref.DITV_ATAT07_0105/v.vc/fiche"/>
    <hyperlink ref="D39" r:id="rId23" display="http://docinfogroupe.inetpsa.com/ead/doc/ref.01266_11_01492/v.vc/fiche"/>
    <hyperlink ref="D358" r:id="rId24" display="http://docinfogroupe.inetpsa.com/ead/doc/ref.DITV_ATAT07_0110/v.vc/fiche"/>
    <hyperlink ref="D269" r:id="rId25" display="http://docinfogroupe.inetpsa.com/ead/doc/ref.CMON_MEM08_0266/v.vc/fiche"/>
    <hyperlink ref="D34" r:id="rId26" display="http://docinfogroupe.inetpsa.com/ead/doc/ref.01266_11_00202/v.vc/fiche"/>
    <hyperlink ref="D599" r:id="rId27" display="http://docinfogroupe.inetpsa.com/ead/doc/ref.DPTA_DMOV06_0188/v.vc/fiche"/>
    <hyperlink ref="D66" r:id="rId28" display="http://docinfogroupe.inetpsa.com/ead/doc/ref.01266_14_00963/v.vc/fiche"/>
    <hyperlink ref="D491" r:id="rId29" display="http://docinfogroupe.inetpsa.com/ead/doc/ref.DITV_ATAT08_0019/v.vc/fiche"/>
    <hyperlink ref="D267" r:id="rId30" display="http://docinfogroupe.inetpsa.com/ead/doc/ref.CMON_IMV08_0412/v.vc/fiche"/>
    <hyperlink ref="D5" r:id="rId31" display="http://docinfogroupe.inetpsa.com/ead/doc/ref.01266_09_00156/v.vc/fiche"/>
    <hyperlink ref="D16" r:id="rId32" display="http://docinfogroupe.inetpsa.com/ead/doc/ref.01266_10_00645/v.vc/fiche"/>
    <hyperlink ref="D472" r:id="rId33" display="http://docinfogroupe.inetpsa.com/ead/doc/ref.DITV_ATAT07_0276/v.vc/fiche"/>
    <hyperlink ref="D460" r:id="rId34" display="http://docinfogroupe.inetpsa.com/ead/doc/ref.DITV_ATAT07_0257/v.vc/fiche"/>
    <hyperlink ref="D336" r:id="rId35" display="http://docinfogroupe.inetpsa.com/ead/doc/ref.DITV_ATAT07_0082/v.vc/fiche"/>
    <hyperlink ref="D583" r:id="rId36" display="http://docinfogroupe.inetpsa.com/ead/doc/ref.DPTA_DMOV06_0160/v.vc/fiche"/>
    <hyperlink ref="D429" r:id="rId37" display="http://docinfogroupe.inetpsa.com/ead/doc/ref.DITV_ATAT07_0205/v.vc/fiche"/>
    <hyperlink ref="D497" r:id="rId38" display="http://docinfogroupe.inetpsa.com/ead/doc/ref.DITV_CMON08_0587/v.vc/fiche"/>
    <hyperlink ref="D632" r:id="rId39" display="http://docinfogroupe.inetpsa.com/ead/doc/ref.DTI_DITV07_0028/v.vc/fiche"/>
    <hyperlink ref="D27" r:id="rId40" display="http://docinfogroupe.inetpsa.com/ead/doc/ref.01266_10_01125/v.vc/fiche"/>
    <hyperlink ref="D477" r:id="rId41" display="http://docinfogroupe.inetpsa.com/ead/doc/ref.DITV_ATAT07_0282/v.vc/fiche"/>
    <hyperlink ref="D60" r:id="rId42" display="http://docinfogroupe.inetpsa.com/ead/doc/ref.01266_13_00552/v.vc/fiche"/>
    <hyperlink ref="D307" r:id="rId43" display="http://docinfogroupe.inetpsa.com/ead/doc/ref.DITV_ATAT07_0047/v.vc/fiche"/>
    <hyperlink ref="D498" r:id="rId44" display="http://docinfogroupe.inetpsa.com/ead/doc/ref.DMOV_STRP06_1449/v.vc/fiche"/>
    <hyperlink ref="D9" r:id="rId45" display="http://docinfogroupe.inetpsa.com/ead/doc/ref.01266_10_00634/v.vc/fiche"/>
    <hyperlink ref="D450" r:id="rId46" display="http://docinfogroupe.inetpsa.com/ead/doc/ref.DITV_ATAT07_0240/v.vc/fiche"/>
    <hyperlink ref="D501" r:id="rId47" display="http://docinfogroupe.inetpsa.com/ead/doc/ref.DPTA_DMOV05_0937/v.vc/fiche"/>
    <hyperlink ref="D448" r:id="rId48" display="http://docinfogroupe.inetpsa.com/ead/doc/ref.DITV_ATAT07_0238/v.vc/fiche"/>
    <hyperlink ref="D262" r:id="rId49" display="http://docinfogroupe.inetpsa.com/ead/doc/ref.CMON_IMV08_0405/v.vc/fiche"/>
    <hyperlink ref="D591" r:id="rId50" display="http://docinfogroupe.inetpsa.com/ead/doc/ref.DPTA_DMOV06_0171/v.vc/fiche"/>
    <hyperlink ref="D463" r:id="rId51" display="http://docinfogroupe.inetpsa.com/ead/doc/ref.DITV_ATAT07_0261/v.vc/fiche"/>
    <hyperlink ref="D8" r:id="rId52" display="http://docinfogroupe.inetpsa.com/ead/doc/ref.01266_10_00632/v.vc/fiche"/>
    <hyperlink ref="D61" r:id="rId53" display="http://docinfogroupe.inetpsa.com/ead/doc/ref.01266_13_00605/v.vc/fiche"/>
    <hyperlink ref="D440" r:id="rId54" display="http://docinfogroupe.inetpsa.com/ead/doc/ref.DITV_ATAT07_0219/v.vc/fiche"/>
    <hyperlink ref="D333" r:id="rId55" display="http://docinfogroupe.inetpsa.com/ead/doc/ref.DITV_ATAT07_0078/v.vc/fiche"/>
    <hyperlink ref="D427" r:id="rId56" display="http://docinfogroupe.inetpsa.com/ead/doc/ref.DITV_ATAT07_0203/v.vc/fiche"/>
    <hyperlink ref="D345" r:id="rId57" display="http://docinfogroupe.inetpsa.com/ead/doc/ref.DITV_ATAT07_0092/v.vc/fiche"/>
    <hyperlink ref="D475" r:id="rId58" display="http://docinfogroupe.inetpsa.com/ead/doc/ref.DITV_ATAT07_0280/v.vc/fiche"/>
    <hyperlink ref="D287" r:id="rId59" display="http://docinfogroupe.inetpsa.com/ead/doc/ref.DITV_ATAT07_0025/v.vc/fiche"/>
    <hyperlink ref="D487" r:id="rId60" display="http://docinfogroupe.inetpsa.com/ead/doc/ref.DITV_ATAT07_0296/v.vc/fiche"/>
    <hyperlink ref="D484" r:id="rId61" display="http://docinfogroupe.inetpsa.com/ead/doc/ref.DITV_ATAT07_0293/v.vc/fiche"/>
    <hyperlink ref="D38" r:id="rId62" display="http://docinfogroupe.inetpsa.com/ead/doc/ref.01266_11_00413/v.vc/fiche"/>
    <hyperlink ref="D364" r:id="rId63" display="http://docinfogroupe.inetpsa.com/ead/doc/ref.DITV_ATAT07_0118/v.vc/fiche"/>
    <hyperlink ref="D421" r:id="rId64" display="http://docinfogroupe.inetpsa.com/ead/doc/ref.DITV_ATAT07_0197/v.vc/fiche"/>
    <hyperlink ref="D368" r:id="rId65" display="http://docinfogroupe.inetpsa.com/ead/doc/ref.DITV_ATAT07_0123/v.vc/fiche"/>
    <hyperlink ref="D434" r:id="rId66" display="http://docinfogroupe.inetpsa.com/ead/doc/ref.DITV_ATAT07_0211/v.vc/fiche"/>
    <hyperlink ref="D418" r:id="rId67" display="http://docinfogroupe.inetpsa.com/ead/doc/ref.DITV_ATAT07_0193/v.vc/fiche"/>
    <hyperlink ref="D346" r:id="rId68" display="http://docinfogroupe.inetpsa.com/ead/doc/ref.DITV_ATAT07_0093/v.vc/fiche"/>
    <hyperlink ref="D617" r:id="rId69" display="http://docinfogroupe.inetpsa.com/ead/doc/ref.DPTA_DMOV06_0215/v.vc/fiche"/>
    <hyperlink ref="D504" r:id="rId70" display="http://docinfogroupe.inetpsa.com/ead/doc/ref.DPTA_DMOV05_0955/v.vc/fiche"/>
    <hyperlink ref="D614" r:id="rId71" display="http://docinfogroupe.inetpsa.com/ead/doc/ref.DPTA_DMOV06_0212/v.vc/fiche"/>
    <hyperlink ref="D322" r:id="rId72" display="http://docinfogroupe.inetpsa.com/ead/doc/ref.DITV_ATAT07_0065/v.vc/fiche"/>
    <hyperlink ref="D411" r:id="rId73" display="http://docinfogroupe.inetpsa.com/ead/doc/ref.DITV_ATAT07_0183/v.vc/fiche"/>
    <hyperlink ref="D457" r:id="rId74" display="http://docinfogroupe.inetpsa.com/ead/doc/ref.DITV_ATAT07_0248/v.vc/fiche"/>
    <hyperlink ref="D387" r:id="rId75" display="http://docinfogroupe.inetpsa.com/ead/doc/ref.DITV_ATAT07_0153/v.vc/fiche"/>
    <hyperlink ref="D585" r:id="rId76" display="http://docinfogroupe.inetpsa.com/ead/doc/ref.DPTA_DMOV06_0163/v.vc/fiche"/>
    <hyperlink ref="D624" r:id="rId77" display="http://docinfogroupe.inetpsa.com/ead/doc/ref.DPTA_DMOV06_0238/v.vc/fiche"/>
    <hyperlink ref="D496" r:id="rId78" display="http://docinfogroupe.inetpsa.com/ead/doc/ref.DITV_CMON08_0585/v.vc/fiche"/>
    <hyperlink ref="D502" r:id="rId79" display="http://docinfogroupe.inetpsa.com/ead/doc/ref.DPTA_DMOV05_0938/v.vc/fiche"/>
    <hyperlink ref="D598" r:id="rId80" display="http://docinfogroupe.inetpsa.com/ead/doc/ref.DPTA_DMOV06_0187/v.vc/fiche"/>
    <hyperlink ref="D282" r:id="rId81" display="http://docinfogroupe.inetpsa.com/ead/doc/ref.DITV_ATAT07_0019/v.vc/fiche"/>
    <hyperlink ref="D352" r:id="rId82" display="http://docinfogroupe.inetpsa.com/ead/doc/ref.DITV_ATAT07_0103/v.vc/fiche"/>
    <hyperlink ref="D419" r:id="rId83" display="http://docinfogroupe.inetpsa.com/ead/doc/ref.DITV_ATAT07_0195/v.vc/fiche"/>
    <hyperlink ref="D329" r:id="rId84" display="http://docinfogroupe.inetpsa.com/ead/doc/ref.DITV_ATAT07_0073/v.vc/fiche"/>
    <hyperlink ref="D399" r:id="rId85" display="http://docinfogroupe.inetpsa.com/ead/doc/ref.DITV_ATAT07_0168/v.vc/fiche"/>
    <hyperlink ref="D453" r:id="rId86" display="http://docinfogroupe.inetpsa.com/ead/doc/ref.DITV_ATAT07_0244/v.vc/fiche"/>
    <hyperlink ref="D604" r:id="rId87" display="http://docinfogroupe.inetpsa.com/ead/doc/ref.DPTA_DMOV06_0195/v.vc/fiche"/>
    <hyperlink ref="D372" r:id="rId88" display="http://docinfogroupe.inetpsa.com/ead/doc/ref.DITV_ATAT07_0128/v.vc/fiche"/>
    <hyperlink ref="D343" r:id="rId89" display="http://docinfogroupe.inetpsa.com/ead/doc/ref.DITV_ATAT07_0089/v.vc/fiche"/>
    <hyperlink ref="D530" r:id="rId90" display="http://docinfogroupe.inetpsa.com/ead/doc/ref.DPTA_DMOV06_0047/v.vc/fiche"/>
    <hyperlink ref="D428" r:id="rId91" display="http://docinfogroupe.inetpsa.com/ead/doc/ref.DITV_ATAT07_0204/v.vc/fiche"/>
    <hyperlink ref="D606" r:id="rId92" display="http://docinfogroupe.inetpsa.com/ead/doc/ref.DPTA_DMOV06_0198/v.vc/fiche"/>
    <hyperlink ref="D456" r:id="rId93" display="http://docinfogroupe.inetpsa.com/ead/doc/ref.DITV_ATAT07_0247/v.vc/fiche"/>
    <hyperlink ref="D367" r:id="rId94" display="http://docinfogroupe.inetpsa.com/ead/doc/ref.DITV_ATAT07_0121/v.vc/fiche"/>
    <hyperlink ref="D516" r:id="rId95" display="http://docinfogroupe.inetpsa.com/ead/doc/ref.DPTA_DMOV05_1004/v.vc/fiche"/>
    <hyperlink ref="D359" r:id="rId96" display="http://docinfogroupe.inetpsa.com/ead/doc/ref.DITV_ATAT07_0112/v.vc/fiche"/>
    <hyperlink ref="D590" r:id="rId97" display="http://docinfogroupe.inetpsa.com/ead/doc/ref.DPTA_DMOV06_0170/v.vc/fiche"/>
    <hyperlink ref="D480" r:id="rId98" display="http://docinfogroupe.inetpsa.com/ead/doc/ref.DITV_ATAT07_0286/v.vc/fiche"/>
    <hyperlink ref="D388" r:id="rId99" display="http://docinfogroupe.inetpsa.com/ead/doc/ref.DITV_ATAT07_0155/v.vc/fiche"/>
    <hyperlink ref="D42" r:id="rId100" display="http://docinfogroupe.inetpsa.com/ead/doc/ref.01266_11_02185/v.vc/fiche"/>
    <hyperlink ref="D70" r:id="rId101" display="http://docinfogroupe.inetpsa.com/ead/doc/ref.01266_14_01086/v.vc/fiche"/>
    <hyperlink ref="D380" r:id="rId102" display="http://docinfogroupe.inetpsa.com/ead/doc/ref.DITV_ATAT07_0140/v.vc/fiche"/>
    <hyperlink ref="D432" r:id="rId103" display="http://docinfogroupe.inetpsa.com/ead/doc/ref.DITV_ATAT07_0208/v.vc/fiche"/>
    <hyperlink ref="D294" r:id="rId104" display="http://docinfogroupe.inetpsa.com/ead/doc/ref.DITV_ATAT07_0032/v.vc/fiche"/>
    <hyperlink ref="D306" r:id="rId105" display="http://docinfogroupe.inetpsa.com/ead/doc/ref.DITV_ATAT07_0046/v.vc/fiche"/>
    <hyperlink ref="D470" r:id="rId106" display="http://docinfogroupe.inetpsa.com/ead/doc/ref.DITV_ATAT07_0269/v.vc/fiche"/>
    <hyperlink ref="D298" r:id="rId107" display="http://docinfogroupe.inetpsa.com/ead/doc/ref.DITV_ATAT07_0036/v.vc/fiche"/>
    <hyperlink ref="D408" r:id="rId108" display="http://docinfogroupe.inetpsa.com/ead/doc/ref.DITV_ATAT07_0180/v.vc/fiche"/>
    <hyperlink ref="D320" r:id="rId109" display="http://docinfogroupe.inetpsa.com/ead/doc/ref.DITV_ATAT07_0063/v.vc/fiche"/>
    <hyperlink ref="D564" r:id="rId110" display="http://docinfogroupe.inetpsa.com/ead/doc/ref.DPTA_DMOV06_0131/v.vc/fiche"/>
    <hyperlink ref="D277" r:id="rId111" display="http://docinfogroupe.inetpsa.com/ead/doc/ref.DITV_ATAT07_0014/v.vc/fiche"/>
    <hyperlink ref="D10" r:id="rId112" display="http://docinfogroupe.inetpsa.com/ead/doc/ref.01266_10_00635/v.vc/fiche"/>
    <hyperlink ref="D52" r:id="rId113" display="http://docinfogroupe.inetpsa.com/ead/doc/ref.01266_12_00789/v.vc/fiche"/>
    <hyperlink ref="D363" r:id="rId114" display="http://docinfogroupe.inetpsa.com/ead/doc/ref.DITV_ATAT07_0116/v.vc/fiche"/>
    <hyperlink ref="D554" r:id="rId115" display="http://docinfogroupe.inetpsa.com/ead/doc/ref.DPTA_DMOV06_0116/v.vc/fiche"/>
    <hyperlink ref="D620" r:id="rId116" display="http://docinfogroupe.inetpsa.com/ead/doc/ref.DPTA_DMOV06_0221/v.vc/fiche"/>
    <hyperlink ref="D59" r:id="rId117" display="http://docinfogroupe.inetpsa.com/ead/doc/ref.01266_13_00326/v.vc/fiche"/>
    <hyperlink ref="D14" r:id="rId118" display="http://docinfogroupe.inetpsa.com/ead/doc/ref.01266_10_00643/v.vc/fiche"/>
    <hyperlink ref="D374" r:id="rId119" display="http://docinfogroupe.inetpsa.com/ead/doc/ref.DITV_ATAT07_0130/v.vc/fiche"/>
    <hyperlink ref="D378" r:id="rId120" display="http://docinfogroupe.inetpsa.com/ead/doc/ref.DITV_ATAT07_0135/v.vc/fiche"/>
    <hyperlink ref="D31" r:id="rId121" display="http://docinfogroupe.inetpsa.com/ead/doc/ref.01266_10_01772/v.vc/fiche"/>
    <hyperlink ref="D274" r:id="rId122" display="http://docinfogroupe.inetpsa.com/ead/doc/ref.DITV_ATAT07_0011/v.vc/fiche"/>
    <hyperlink ref="D468" r:id="rId123" display="http://docinfogroupe.inetpsa.com/ead/doc/ref.DITV_ATAT07_0267/v.vc/fiche"/>
    <hyperlink ref="D562" r:id="rId124" display="http://docinfogroupe.inetpsa.com/ead/doc/ref.DPTA_DMOV06_0129/v.vc/fiche"/>
    <hyperlink ref="D552" r:id="rId125" display="http://docinfogroupe.inetpsa.com/ead/doc/ref.DPTA_DMOV06_0114/v.vc/fiche"/>
    <hyperlink ref="D615" r:id="rId126" display="http://docinfogroupe.inetpsa.com/ead/doc/ref.DPTA_DMOV06_0213/v.vc/fiche"/>
    <hyperlink ref="D513" r:id="rId127" display="http://docinfogroupe.inetpsa.com/ead/doc/ref.DPTA_DMOV05_1000/v.vc/fiche"/>
    <hyperlink ref="D435" r:id="rId128" display="http://docinfogroupe.inetpsa.com/ead/doc/ref.DITV_ATAT07_0212/v.vc/fiche"/>
    <hyperlink ref="D49" r:id="rId129" display="http://docinfogroupe.inetpsa.com/ead/doc/ref.01266_12_00407/v.vc/fiche"/>
    <hyperlink ref="D586" r:id="rId130" display="http://docinfogroupe.inetpsa.com/ead/doc/ref.DPTA_DMOV06_0164/v.vc/fiche"/>
    <hyperlink ref="D623" r:id="rId131" display="http://docinfogroupe.inetpsa.com/ead/doc/ref.DPTA_DMOV06_0237/v.vc/fiche"/>
    <hyperlink ref="D570" r:id="rId132" display="http://docinfogroupe.inetpsa.com/ead/doc/ref.DPTA_DMOV06_0139/v.vc/fiche"/>
    <hyperlink ref="D547" r:id="rId133" display="http://docinfogroupe.inetpsa.com/ead/doc/ref.DPTA_DMOV06_0109/v.vc/fiche"/>
    <hyperlink ref="D28" r:id="rId134" display="http://docinfogroupe.inetpsa.com/ead/doc/ref.01266_10_01499/v.vc/fiche"/>
    <hyperlink ref="D381" r:id="rId135" display="http://docinfogroupe.inetpsa.com/ead/doc/ref.DITV_ATAT07_0141/v.vc/fiche"/>
    <hyperlink ref="D467" r:id="rId136" display="http://docinfogroupe.inetpsa.com/ead/doc/ref.DITV_ATAT07_0266/v.vc/fiche"/>
    <hyperlink ref="D45" r:id="rId137" display="http://docinfogroupe.inetpsa.com/ead/doc/ref.01266_12_00210/v.vc/fiche"/>
    <hyperlink ref="D596" r:id="rId138" display="http://docinfogroupe.inetpsa.com/ead/doc/ref.DPTA_DMOV06_0184/v.vc/fiche"/>
    <hyperlink ref="D309" r:id="rId139" display="http://docinfogroupe.inetpsa.com/ead/doc/ref.DITV_ATAT07_0052/v.vc/fiche"/>
    <hyperlink ref="D41" r:id="rId140" display="http://docinfogroupe.inetpsa.com/ead/doc/ref.01266_11_02100/v.vc/fiche"/>
    <hyperlink ref="D37" r:id="rId141" display="http://docinfogroupe.inetpsa.com/ead/doc/ref.01266_11_00381/v.vc/fiche"/>
    <hyperlink ref="D551" r:id="rId142" display="http://docinfogroupe.inetpsa.com/ead/doc/ref.DPTA_DMOV06_0113/v.vc/fiche"/>
    <hyperlink ref="D514" r:id="rId143" display="http://docinfogroupe.inetpsa.com/ead/doc/ref.DPTA_DMOV05_1002/v.vc/fiche"/>
    <hyperlink ref="D54" r:id="rId144" display="http://docinfogroupe.inetpsa.com/ead/doc/ref.01266_12_00993/v.vc/fiche"/>
    <hyperlink ref="D361" r:id="rId145" display="http://docinfogroupe.inetpsa.com/ead/doc/ref.DITV_ATAT07_0114/v.vc/fiche"/>
    <hyperlink ref="D543" r:id="rId146" display="http://docinfogroupe.inetpsa.com/ead/doc/ref.DPTA_DMOV06_0097/v.vc/fiche"/>
    <hyperlink ref="D280" r:id="rId147" display="http://docinfogroupe.inetpsa.com/ead/doc/ref.DITV_ATAT07_0017/v.vc/fiche"/>
    <hyperlink ref="D594" r:id="rId148" display="http://docinfogroupe.inetpsa.com/ead/doc/ref.DPTA_DMOV06_0175/v.vc/fiche"/>
    <hyperlink ref="D592" r:id="rId149" display="http://docinfogroupe.inetpsa.com/ead/doc/ref.DPTA_DMOV06_0172/v.vc/fiche"/>
    <hyperlink ref="D531" r:id="rId150" display="http://docinfogroupe.inetpsa.com/ead/doc/ref.DPTA_DMOV06_0053/v.vc/fiche"/>
    <hyperlink ref="D355" r:id="rId151" display="http://docinfogroupe.inetpsa.com/ead/doc/ref.DITV_ATAT07_0107/v.vc/fiche"/>
    <hyperlink ref="D561" r:id="rId152" display="http://docinfogroupe.inetpsa.com/ead/doc/ref.DPTA_DMOV06_0125/v.vc/fiche"/>
    <hyperlink ref="D533" r:id="rId153" display="http://docinfogroupe.inetpsa.com/ead/doc/ref.DPTA_DMOV06_0066/v.vc/fiche"/>
    <hyperlink ref="D62" r:id="rId154" display="http://docinfogroupe.inetpsa.com/ead/doc/ref.01266_13_00628/v.vc/fiche"/>
    <hyperlink ref="D454" r:id="rId155" display="http://docinfogroupe.inetpsa.com/ead/doc/ref.DITV_ATAT07_0245/v.vc/fiche"/>
    <hyperlink ref="D588" r:id="rId156" display="http://docinfogroupe.inetpsa.com/ead/doc/ref.DPTA_DMOV06_0168/v.vc/fiche"/>
    <hyperlink ref="D24" r:id="rId157" display="http://docinfogroupe.inetpsa.com/ead/doc/ref.01266_10_00743/v.vc/fiche"/>
    <hyperlink ref="D391" r:id="rId158" display="http://docinfogroupe.inetpsa.com/ead/doc/ref.DITV_ATAT07_0158/v.vc/fiche"/>
    <hyperlink ref="D44" r:id="rId159" display="http://docinfogroupe.inetpsa.com/ead/doc/ref.01266_12_00209/v.vc/fiche"/>
    <hyperlink ref="D315" r:id="rId160" display="http://docinfogroupe.inetpsa.com/ead/doc/ref.DITV_ATAT07_0058/v.vc/fiche"/>
    <hyperlink ref="D362" r:id="rId161" display="http://docinfogroupe.inetpsa.com/ead/doc/ref.DITV_ATAT07_0115/v.vc/fiche"/>
    <hyperlink ref="D21" r:id="rId162" display="http://docinfogroupe.inetpsa.com/ead/doc/ref.01266_10_00736/v.vc/fiche"/>
    <hyperlink ref="D540" r:id="rId163" display="http://docinfogroupe.inetpsa.com/ead/doc/ref.DPTA_DMOV06_0088/v.vc/fiche"/>
    <hyperlink ref="D542" r:id="rId164" display="http://docinfogroupe.inetpsa.com/ead/doc/ref.DPTA_DMOV06_0096/v.vc/fiche"/>
    <hyperlink ref="D500" r:id="rId165" display="http://docinfogroupe.inetpsa.com/ead/doc/ref.DPMO_DIR07_0008/v.vc/fiche"/>
    <hyperlink ref="D485" r:id="rId166" display="http://docinfogroupe.inetpsa.com/ead/doc/ref.DITV_ATAT07_0294/v.vc/fiche"/>
    <hyperlink ref="D494" r:id="rId167" display="http://docinfogroupe.inetpsa.com/ead/doc/ref.DITV_CMON08_0322/v.vc/fiche"/>
    <hyperlink ref="D511" r:id="rId168" display="http://docinfogroupe.inetpsa.com/ead/doc/ref.DPTA_DMOV05_0997/v.vc/fiche"/>
    <hyperlink ref="D407" r:id="rId169" display="http://docinfogroupe.inetpsa.com/ead/doc/ref.DITV_ATAT07_0179/v.vc/fiche"/>
    <hyperlink ref="D438" r:id="rId170" display="http://docinfogroupe.inetpsa.com/ead/doc/ref.DITV_ATAT07_0215/v.vc/fiche"/>
    <hyperlink ref="D65" r:id="rId171" display="http://docinfogroupe.inetpsa.com/ead/doc/ref.01266_13_01124/v.vc/fiche"/>
    <hyperlink ref="D558" r:id="rId172" display="http://docinfogroupe.inetpsa.com/ead/doc/ref.DPTA_DMOV06_0122/v.vc/fiche"/>
    <hyperlink ref="D389" r:id="rId173" display="http://docinfogroupe.inetpsa.com/ead/doc/ref.DITV_ATAT07_0156/v.vc/fiche"/>
    <hyperlink ref="D622" r:id="rId174" display="http://docinfogroupe.inetpsa.com/ead/doc/ref.DPTA_DMOV06_0235/v.vc/fiche"/>
    <hyperlink ref="D278" r:id="rId175" display="http://docinfogroupe.inetpsa.com/ead/doc/ref.DITV_ATAT07_0015/v.vc/fiche"/>
    <hyperlink ref="D509" r:id="rId176" display="http://docinfogroupe.inetpsa.com/ead/doc/ref.DPTA_DMOV05_0968/v.vc/fiche"/>
    <hyperlink ref="D555" r:id="rId177" display="http://docinfogroupe.inetpsa.com/ead/doc/ref.DPTA_DMOV06_0117/v.vc/fiche"/>
    <hyperlink ref="D43" r:id="rId178" display="http://docinfogroupe.inetpsa.com/ead/doc/ref.01266_12_00151/v.vc/fiche"/>
    <hyperlink ref="D572" r:id="rId179" display="http://docinfogroupe.inetpsa.com/ead/doc/ref.DPTA_DMOV06_0144/v.vc/fiche"/>
    <hyperlink ref="D459" r:id="rId180" display="http://docinfogroupe.inetpsa.com/ead/doc/ref.DITV_ATAT07_0256/v.vc/fiche"/>
    <hyperlink ref="D356" r:id="rId181" display="http://docinfogroupe.inetpsa.com/ead/doc/ref.DITV_ATAT07_0108/v.vc/fiche"/>
    <hyperlink ref="D18" r:id="rId182" display="http://docinfogroupe.inetpsa.com/ead/doc/ref.01266_10_00733/v.vc/fiche"/>
    <hyperlink ref="D291" r:id="rId183" display="http://docinfogroupe.inetpsa.com/ead/doc/ref.DITV_ATAT07_0029/v.vc/fiche"/>
    <hyperlink ref="D376" r:id="rId184" display="http://docinfogroupe.inetpsa.com/ead/doc/ref.DITV_ATAT07_0133/v.vc/fiche"/>
    <hyperlink ref="D462" r:id="rId185" display="http://docinfogroupe.inetpsa.com/ead/doc/ref.DITV_ATAT07_0259/v.vc/fiche"/>
    <hyperlink ref="D556" r:id="rId186" display="http://docinfogroupe.inetpsa.com/ead/doc/ref.DPTA_DMOV06_0119/v.vc/fiche"/>
    <hyperlink ref="D68" r:id="rId187" display="http://docinfogroupe.inetpsa.com/ead/doc/ref.01266_14_01081/v.vc/fiche"/>
    <hyperlink ref="D520" r:id="rId188" display="http://docinfogroupe.inetpsa.com/ead/doc/ref.DPTA_DMOV05_1018/v.vc/fiche"/>
    <hyperlink ref="D325" r:id="rId189" display="http://docinfogroupe.inetpsa.com/ead/doc/ref.DITV_ATAT07_0069/v.vc/fiche"/>
    <hyperlink ref="D605" r:id="rId190" display="http://docinfogroupe.inetpsa.com/ead/doc/ref.DPTA_DMOV06_0197/v.vc/fiche"/>
    <hyperlink ref="D455" r:id="rId191" display="http://docinfogroupe.inetpsa.com/ead/doc/ref.DITV_ATAT07_0246/v.vc/fiche"/>
    <hyperlink ref="D507" r:id="rId192" display="http://docinfogroupe.inetpsa.com/ead/doc/ref.DPTA_DMOV05_0964/v.vc/fiche"/>
    <hyperlink ref="D404" r:id="rId193" display="http://docinfogroupe.inetpsa.com/ead/doc/ref.DITV_ATAT07_0174/v.vc/fiche"/>
    <hyperlink ref="D541" r:id="rId194" display="http://docinfogroupe.inetpsa.com/ead/doc/ref.DPTA_DMOV06_0095/v.vc/fiche"/>
    <hyperlink ref="D535" r:id="rId195" display="http://docinfogroupe.inetpsa.com/ead/doc/ref.DPTA_DMOV06_0074/v.vc/fiche"/>
    <hyperlink ref="D365" r:id="rId196" display="http://docinfogroupe.inetpsa.com/ead/doc/ref.DITV_ATAT07_0119/v.vc/fiche"/>
    <hyperlink ref="D397" r:id="rId197" display="http://docinfogroupe.inetpsa.com/ead/doc/ref.DITV_ATAT07_0166/v.vc/fiche"/>
    <hyperlink ref="D403" r:id="rId198" display="http://docinfogroupe.inetpsa.com/ead/doc/ref.DITV_ATAT07_0173/v.vc/fiche"/>
    <hyperlink ref="D621" r:id="rId199" display="http://docinfogroupe.inetpsa.com/ead/doc/ref.DPTA_DMOV06_0222/v.vc/fiche"/>
    <hyperlink ref="D385" r:id="rId200" display="http://docinfogroupe.inetpsa.com/ead/doc/ref.DITV_ATAT07_0149/v.vc/fiche"/>
    <hyperlink ref="D290" r:id="rId201" display="http://docinfogroupe.inetpsa.com/ead/doc/ref.DITV_ATAT07_0028/v.vc/fiche"/>
    <hyperlink ref="D6" r:id="rId202" display="http://docinfogroupe.inetpsa.com/ead/doc/ref.01266_09_00299/v.vc/fiche"/>
    <hyperlink ref="D292" r:id="rId203" display="http://docinfogroupe.inetpsa.com/ead/doc/ref.DITV_ATAT07_0030/v.vc/fiche"/>
    <hyperlink ref="D601" r:id="rId204" display="http://docinfogroupe.inetpsa.com/ead/doc/ref.DPTA_DMOV06_0190/v.vc/fiche"/>
    <hyperlink ref="D268" r:id="rId205" display="http://docinfogroupe.inetpsa.com/ead/doc/ref.CMON_IMV08_0422/v.vc/fiche"/>
    <hyperlink ref="D490" r:id="rId206" display="http://docinfogroupe.inetpsa.com/ead/doc/ref.DITV_ATAT08_0018/v.vc/fiche"/>
    <hyperlink ref="D283" r:id="rId207" display="http://docinfogroupe.inetpsa.com/ead/doc/ref.DITV_ATAT07_0020/v.vc/fiche"/>
    <hyperlink ref="D478" r:id="rId208" display="http://docinfogroupe.inetpsa.com/ead/doc/ref.DITV_ATAT07_0284/v.vc/fiche"/>
    <hyperlink ref="D446" r:id="rId209" display="http://docinfogroupe.inetpsa.com/ead/doc/ref.DITV_ATAT07_0235/v.vc/fiche"/>
    <hyperlink ref="D330" r:id="rId210" display="http://docinfogroupe.inetpsa.com/ead/doc/ref.DITV_ATAT07_0074/v.vc/fiche"/>
    <hyperlink ref="D578" r:id="rId211" display="http://docinfogroupe.inetpsa.com/ead/doc/ref.DPTA_DMOV06_0151/v.vc/fiche"/>
    <hyperlink ref="D436" r:id="rId212" display="http://docinfogroupe.inetpsa.com/ead/doc/ref.DITV_ATAT07_0213/v.vc/fiche"/>
    <hyperlink ref="D300" r:id="rId213" display="http://docinfogroupe.inetpsa.com/ead/doc/ref.DITV_ATAT07_0038/v.vc/fiche"/>
    <hyperlink ref="D619" r:id="rId214" display="http://docinfogroupe.inetpsa.com/ead/doc/ref.DPTA_DMOV06_0220/v.vc/fiche"/>
    <hyperlink ref="D339" r:id="rId215" display="http://docinfogroupe.inetpsa.com/ead/doc/ref.DITV_ATAT07_0085/v.vc/fiche"/>
    <hyperlink ref="D53" r:id="rId216" display="http://docinfogroupe.inetpsa.com/ead/doc/ref.01266_12_00871/v.vc/fiche"/>
    <hyperlink ref="D383" r:id="rId217" display="http://docinfogroupe.inetpsa.com/ead/doc/ref.DITV_ATAT07_0143/v.vc/fiche"/>
    <hyperlink ref="D447" r:id="rId218" display="http://docinfogroupe.inetpsa.com/ead/doc/ref.DITV_ATAT07_0237/v.vc/fiche"/>
    <hyperlink ref="D441" r:id="rId219" display="http://docinfogroupe.inetpsa.com/ead/doc/ref.DITV_ATAT07_0224/v.vc/fiche"/>
    <hyperlink ref="D420" r:id="rId220" display="http://docinfogroupe.inetpsa.com/ead/doc/ref.DITV_ATAT07_0196/v.vc/fiche"/>
    <hyperlink ref="D64" r:id="rId221" display="http://docinfogroupe.inetpsa.com/ead/doc/ref.01266_13_00991/v.vc/fiche"/>
    <hyperlink ref="D19" r:id="rId222" display="http://docinfogroupe.inetpsa.com/ead/doc/ref.01266_10_00734/v.vc/fiche"/>
    <hyperlink ref="D603" r:id="rId223" display="http://docinfogroupe.inetpsa.com/ead/doc/ref.DPTA_DMOV06_0192/v.vc/fiche"/>
    <hyperlink ref="D341" r:id="rId224" display="http://docinfogroupe.inetpsa.com/ead/doc/ref.DITV_ATAT07_0087/v.vc/fiche"/>
    <hyperlink ref="D305" r:id="rId225" display="http://docinfogroupe.inetpsa.com/ead/doc/ref.DITV_ATAT07_0045/v.vc/fiche"/>
    <hyperlink ref="D281" r:id="rId226" display="http://docinfogroupe.inetpsa.com/ead/doc/ref.DITV_ATAT07_0018/v.vc/fiche"/>
    <hyperlink ref="D589" r:id="rId227" display="http://docinfogroupe.inetpsa.com/ead/doc/ref.DPTA_DMOV06_0169/v.vc/fiche"/>
    <hyperlink ref="D548" r:id="rId228" display="http://docinfogroupe.inetpsa.com/ead/doc/ref.DPTA_DMOV06_0110/v.vc/fiche"/>
    <hyperlink ref="D7" r:id="rId229" display="http://docinfogroupe.inetpsa.com/ead/doc/ref.01266_10_00199/v.vc/fiche"/>
    <hyperlink ref="D40" r:id="rId230" display="http://docinfogroupe.inetpsa.com/ead/doc/ref.01266_11_01943/v.vc/fiche"/>
    <hyperlink ref="D517" r:id="rId231" display="http://docinfogroupe.inetpsa.com/ead/doc/ref.DPTA_DMOV05_1013/v.vc/fiche"/>
    <hyperlink ref="D550" r:id="rId232" display="http://docinfogroupe.inetpsa.com/ead/doc/ref.DPTA_DMOV06_0112/v.vc/fiche"/>
    <hyperlink ref="D272" r:id="rId233" display="http://docinfogroupe.inetpsa.com/ead/doc/ref.DITV_ATAT07_0009/v.vc/fiche"/>
    <hyperlink ref="D439" r:id="rId234" display="http://docinfogroupe.inetpsa.com/ead/doc/ref.DITV_ATAT07_0218/v.vc/fiche"/>
    <hyperlink ref="D437" r:id="rId235" display="http://docinfogroupe.inetpsa.com/ead/doc/ref.DITV_ATAT07_0214/v.vc/fiche"/>
    <hyperlink ref="D47" r:id="rId236" display="http://docinfogroupe.inetpsa.com/ead/doc/ref.01266_12_00327/v.vc/fiche"/>
    <hyperlink ref="D607" r:id="rId237" display="http://docinfogroupe.inetpsa.com/ead/doc/ref.DPTA_DMOV06_0199/v.vc/fiche"/>
    <hyperlink ref="D495" r:id="rId238" display="http://docinfogroupe.inetpsa.com/ead/doc/ref.DITV_CMON08_0323/v.vc/fiche"/>
    <hyperlink ref="D493" r:id="rId239" display="http://docinfogroupe.inetpsa.com/ead/doc/ref.DITV_ATAT08_0021/v.vc/fiche"/>
    <hyperlink ref="D295" r:id="rId240" display="http://docinfogroupe.inetpsa.com/ead/doc/ref.DITV_ATAT07_0033/v.vc/fiche"/>
    <hyperlink ref="D616" r:id="rId241" display="http://docinfogroupe.inetpsa.com/ead/doc/ref.DPTA_DMOV06_0214/v.vc/fiche"/>
    <hyperlink ref="D265" r:id="rId242" display="http://docinfogroupe.inetpsa.com/ead/doc/ref.CMON_IMV08_0410/v.vc/fiche"/>
    <hyperlink ref="D275" r:id="rId243" display="http://docinfogroupe.inetpsa.com/ead/doc/ref.DITV_ATAT07_0012/v.vc/fiche"/>
    <hyperlink ref="D593" r:id="rId244" display="http://docinfogroupe.inetpsa.com/ead/doc/ref.DPTA_DMOV06_0174/v.vc/fiche"/>
    <hyperlink ref="D69" r:id="rId245" display="http://docinfogroupe.inetpsa.com/ead/doc/ref.01266_14_01085/v.vc/fiche"/>
    <hyperlink ref="D347" r:id="rId246" display="http://docinfogroupe.inetpsa.com/ead/doc/ref.DITV_ATAT07_0094/v.vc/fiche"/>
    <hyperlink ref="D264" r:id="rId247" display="http://docinfogroupe.inetpsa.com/ead/doc/ref.CMON_IMV08_0407/v.vc/fiche"/>
    <hyperlink ref="D321" r:id="rId248" display="http://docinfogroupe.inetpsa.com/ead/doc/ref.DITV_ATAT07_0064/v.vc/fiche"/>
    <hyperlink ref="D532" r:id="rId249" display="http://docinfogroupe.inetpsa.com/ead/doc/ref.DPTA_DMOV06_0055/v.vc/fiche"/>
    <hyperlink ref="D466" r:id="rId250" display="http://docinfogroupe.inetpsa.com/ead/doc/ref.DITV_ATAT07_0265/v.vc/fiche"/>
    <hyperlink ref="D398" r:id="rId251" display="http://docinfogroupe.inetpsa.com/ead/doc/ref.DITV_ATAT07_0167/v.vc/fiche"/>
    <hyperlink ref="D471" r:id="rId252" display="http://docinfogroupe.inetpsa.com/ead/doc/ref.DITV_ATAT07_0274/v.vc/fiche"/>
    <hyperlink ref="D273" r:id="rId253" display="http://docinfogroupe.inetpsa.com/ead/doc/ref.DITV_ATAT07_0010/v.vc/fiche"/>
    <hyperlink ref="D602" r:id="rId254" display="http://docinfogroupe.inetpsa.com/ead/doc/ref.DPTA_DMOV06_0191/v.vc/fiche"/>
    <hyperlink ref="D402" r:id="rId255" display="http://docinfogroupe.inetpsa.com/ead/doc/ref.DITV_ATAT07_0172/v.vc/fiche"/>
    <hyperlink ref="D582" r:id="rId256" display="http://docinfogroupe.inetpsa.com/ead/doc/ref.DPTA_DMOV06_0158/v.vc/fiche"/>
    <hyperlink ref="D13" r:id="rId257" display="http://docinfogroupe.inetpsa.com/ead/doc/ref.01266_10_00642/v.vc/fiche"/>
    <hyperlink ref="D528" r:id="rId258" display="http://docinfogroupe.inetpsa.com/ead/doc/ref.DPTA_DMOV06_0032/v.vc/fiche"/>
    <hyperlink ref="D400" r:id="rId259" display="http://docinfogroupe.inetpsa.com/ead/doc/ref.DITV_ATAT07_0169/v.vc/fiche"/>
    <hyperlink ref="D337" r:id="rId260" display="http://docinfogroupe.inetpsa.com/ead/doc/ref.DITV_ATAT07_0083/v.vc/fiche"/>
    <hyperlink ref="D22" r:id="rId261" display="http://docinfogroupe.inetpsa.com/ead/doc/ref.01266_10_00737/v.vc/fiche"/>
    <hyperlink ref="D426" r:id="rId262" display="http://docinfogroupe.inetpsa.com/ead/doc/ref.DITV_ATAT07_0202/v.vc/fiche"/>
    <hyperlink ref="D574" r:id="rId263" display="http://docinfogroupe.inetpsa.com/ead/doc/ref.DPTA_DMOV06_0147/v.vc/fiche"/>
    <hyperlink ref="D351" r:id="rId264" display="http://docinfogroupe.inetpsa.com/ead/doc/ref.DITV_ATAT07_0101/v.vc/fiche"/>
    <hyperlink ref="D486" r:id="rId265" display="http://docinfogroupe.inetpsa.com/ead/doc/ref.DITV_ATAT07_0295/v.vc/fiche"/>
    <hyperlink ref="D373" r:id="rId266" display="http://docinfogroupe.inetpsa.com/ead/doc/ref.DITV_ATAT07_0129/v.vc/fiche"/>
    <hyperlink ref="D537" r:id="rId267" display="http://docinfogroupe.inetpsa.com/ead/doc/ref.DPTA_DMOV06_0081/v.vc/fiche"/>
    <hyperlink ref="D30" r:id="rId268" display="http://docinfogroupe.inetpsa.com/ead/doc/ref.01266_10_01610/v.vc/fiche"/>
    <hyperlink ref="D613" r:id="rId269" display="http://docinfogroupe.inetpsa.com/ead/doc/ref.DPTA_DMOV06_0211/v.vc/fiche"/>
    <hyperlink ref="D515" r:id="rId270" display="http://docinfogroupe.inetpsa.com/ead/doc/ref.DPTA_DMOV05_1003/v.vc/fiche"/>
    <hyperlink ref="D479" r:id="rId271" display="http://docinfogroupe.inetpsa.com/ead/doc/ref.DITV_ATAT07_0285/v.vc/fiche"/>
    <hyperlink ref="D401" r:id="rId272" display="http://docinfogroupe.inetpsa.com/ead/doc/ref.DITV_ATAT07_0170/v.vc/fiche"/>
    <hyperlink ref="D353" r:id="rId273" display="http://docinfogroupe.inetpsa.com/ead/doc/ref.DITV_ATAT07_0104/v.vc/fiche"/>
    <hyperlink ref="D276" r:id="rId274" display="http://docinfogroupe.inetpsa.com/ead/doc/ref.DITV_ATAT07_0013/v.vc/fiche"/>
    <hyperlink ref="D328" r:id="rId275" display="http://docinfogroupe.inetpsa.com/ead/doc/ref.DITV_ATAT07_0072/v.vc/fiche"/>
    <hyperlink ref="D461" r:id="rId276" display="http://docinfogroupe.inetpsa.com/ead/doc/ref.DITV_ATAT07_0258/v.vc/fiche"/>
    <hyperlink ref="D482" r:id="rId277" display="http://docinfogroupe.inetpsa.com/ead/doc/ref.DITV_ATAT07_0289/v.vc/fiche"/>
    <hyperlink ref="D369" r:id="rId278" display="http://docinfogroupe.inetpsa.com/ead/doc/ref.DITV_ATAT07_0125/v.vc/fiche"/>
    <hyperlink ref="D326" r:id="rId279" display="http://docinfogroupe.inetpsa.com/ead/doc/ref.DITV_ATAT07_0070/v.vc/fiche"/>
    <hyperlink ref="D492" r:id="rId280" display="http://docinfogroupe.inetpsa.com/ead/doc/ref.DITV_ATAT08_0020/v.vc/fiche"/>
    <hyperlink ref="D425" r:id="rId281" display="http://docinfogroupe.inetpsa.com/ead/doc/ref.DITV_ATAT07_0201/v.vc/fiche"/>
    <hyperlink ref="D263" r:id="rId282" display="http://docinfogroupe.inetpsa.com/ead/doc/ref.CMON_IMV08_0406/v.vc/fiche"/>
    <hyperlink ref="D422" r:id="rId283" display="http://docinfogroupe.inetpsa.com/ead/doc/ref.DITV_ATAT07_0198/v.vc/fiche"/>
    <hyperlink ref="D536" r:id="rId284" display="http://docinfogroupe.inetpsa.com/ead/doc/ref.DPTA_DMOV06_0075/v.vc/fiche"/>
    <hyperlink ref="D465" r:id="rId285" display="http://docinfogroupe.inetpsa.com/ead/doc/ref.DITV_ATAT07_0263/v.vc/fiche"/>
    <hyperlink ref="D3" r:id="rId286" display="http://docinfogroupe.inetpsa.com/ead/doc/ref.01266_09_00147/v.vc/fiche"/>
    <hyperlink ref="D431" r:id="rId287" display="http://docinfogroupe.inetpsa.com/ead/doc/ref.DITV_ATAT07_0207/v.vc/fiche"/>
    <hyperlink ref="D580" r:id="rId288" display="http://docinfogroupe.inetpsa.com/ead/doc/ref.DPTA_DMOV06_0153/v.vc/fiche"/>
    <hyperlink ref="D313" r:id="rId289" display="http://docinfogroupe.inetpsa.com/ead/doc/ref.DITV_ATAT07_0056/v.vc/fiche"/>
    <hyperlink ref="D286" r:id="rId290" display="http://docinfogroupe.inetpsa.com/ead/doc/ref.DITV_ATAT07_0023/v.vc/fiche"/>
    <hyperlink ref="D522" r:id="rId291" display="http://docinfogroupe.inetpsa.com/ead/doc/ref.DPTA_DMOV06_0009/v.vc/fiche"/>
    <hyperlink ref="D370" r:id="rId292" display="http://docinfogroupe.inetpsa.com/ead/doc/ref.DITV_ATAT07_0126/v.vc/fiche"/>
    <hyperlink ref="D342" r:id="rId293" display="http://docinfogroupe.inetpsa.com/ead/doc/ref.DITV_ATAT07_0088/v.vc/fiche"/>
    <hyperlink ref="D424" r:id="rId294" display="http://docinfogroupe.inetpsa.com/ead/doc/ref.DITV_ATAT07_0200/v.vc/fiche"/>
    <hyperlink ref="D303" r:id="rId295" display="http://docinfogroupe.inetpsa.com/ead/doc/ref.DITV_ATAT07_0041/v.vc/fiche"/>
    <hyperlink ref="D314" r:id="rId296" display="http://docinfogroupe.inetpsa.com/ead/doc/ref.DITV_ATAT07_0057/v.vc/fiche"/>
    <hyperlink ref="D335" r:id="rId297" display="http://docinfogroupe.inetpsa.com/ead/doc/ref.DITV_ATAT07_0080/v.vc/fiche"/>
    <hyperlink ref="D597" r:id="rId298" display="http://docinfogroupe.inetpsa.com/ead/doc/ref.DPTA_DMOV06_0186/v.vc/fiche"/>
    <hyperlink ref="D449" r:id="rId299" display="http://docinfogroupe.inetpsa.com/ead/doc/ref.DITV_ATAT07_0239/v.vc/fiche"/>
    <hyperlink ref="D20" r:id="rId300" display="http://docinfogroupe.inetpsa.com/ead/doc/ref.01266_10_00735/v.vc/fiche"/>
    <hyperlink ref="D331" r:id="rId301" display="http://docinfogroupe.inetpsa.com/ead/doc/ref.DITV_ATAT07_0075/v.vc/fiche"/>
    <hyperlink ref="D366" r:id="rId302" display="http://docinfogroupe.inetpsa.com/ead/doc/ref.DITV_ATAT07_0120/v.vc/fiche"/>
    <hyperlink ref="D414" r:id="rId303" display="http://docinfogroupe.inetpsa.com/ead/doc/ref.DITV_ATAT07_0187/v.vc/fiche"/>
    <hyperlink ref="D423" r:id="rId304" display="http://docinfogroupe.inetpsa.com/ead/doc/ref.DITV_ATAT07_0199/v.vc/fiche"/>
    <hyperlink ref="D29" r:id="rId305" display="http://docinfogroupe.inetpsa.com/ead/doc/ref.01266_10_01548/v.vc/fiche"/>
    <hyperlink ref="D299" r:id="rId306" display="http://docinfogroupe.inetpsa.com/ead/doc/ref.DITV_ATAT07_0037/v.vc/fiche"/>
    <hyperlink ref="D344" r:id="rId307" display="http://docinfogroupe.inetpsa.com/ead/doc/ref.DITV_ATAT07_0090/v.vc/fiche"/>
    <hyperlink ref="D301" r:id="rId308" display="http://docinfogroupe.inetpsa.com/ead/doc/ref.DITV_ATAT07_0039/v.vc/fiche"/>
    <hyperlink ref="D566" r:id="rId309" display="http://docinfogroupe.inetpsa.com/ead/doc/ref.DPTA_DMOV06_0134/v.vc/fiche"/>
    <hyperlink ref="D568" r:id="rId310" display="http://docinfogroupe.inetpsa.com/ead/doc/ref.DPTA_DMOV06_0136/v.vc/fiche"/>
    <hyperlink ref="D375" r:id="rId311" display="http://docinfogroupe.inetpsa.com/ead/doc/ref.DITV_ATAT07_0132/v.vc/fiche"/>
    <hyperlink ref="D559" r:id="rId312" display="http://docinfogroupe.inetpsa.com/ead/doc/ref.DPTA_DMOV06_0123/v.vc/fiche"/>
    <hyperlink ref="D529" r:id="rId313" display="http://docinfogroupe.inetpsa.com/ead/doc/ref.DPTA_DMOV06_0041/v.vc/fiche"/>
    <hyperlink ref="D340" r:id="rId314" display="http://docinfogroupe.inetpsa.com/ead/doc/ref.DITV_ATAT07_0086/v.vc/fiche"/>
    <hyperlink ref="D628" r:id="rId315" display="http://docinfogroupe.inetpsa.com/ead/doc/ref.DPTA_DMOV06_0243/v.vc/fiche"/>
    <hyperlink ref="D395" r:id="rId316" display="http://docinfogroupe.inetpsa.com/ead/doc/ref.DITV_ATAT07_0163/v.vc/fiche"/>
    <hyperlink ref="D332" r:id="rId317" display="http://docinfogroupe.inetpsa.com/ead/doc/ref.DITV_ATAT07_0076/v.vc/fiche"/>
    <hyperlink ref="D284" r:id="rId318" display="http://docinfogroupe.inetpsa.com/ead/doc/ref.DITV_ATAT07_0021/v.vc/fiche"/>
    <hyperlink ref="D618" r:id="rId319" display="http://docinfogroupe.inetpsa.com/ead/doc/ref.DPTA_DMOV06_0219/v.vc/fiche"/>
    <hyperlink ref="D443" r:id="rId320" display="http://docinfogroupe.inetpsa.com/ead/doc/ref.DITV_ATAT07_0226/v.vc/fiche"/>
    <hyperlink ref="D499" r:id="rId321" display="http://docinfogroupe.inetpsa.com/ead/doc/ref.DMOV_STRP06_1458/v.vc/fiche"/>
    <hyperlink ref="D452" r:id="rId322" display="http://docinfogroupe.inetpsa.com/ead/doc/ref.DITV_ATAT07_0243/v.vc/fiche"/>
    <hyperlink ref="D505" r:id="rId323" display="http://docinfogroupe.inetpsa.com/ead/doc/ref.DPTA_DMOV05_0956/v.vc/fiche"/>
    <hyperlink ref="D50" r:id="rId324" display="http://docinfogroupe.inetpsa.com/ead/doc/ref.01266_12_00440/v.vc/fiche"/>
    <hyperlink ref="D406" r:id="rId325" display="http://docinfogroupe.inetpsa.com/ead/doc/ref.DITV_ATAT07_0178/v.vc/fiche"/>
    <hyperlink ref="D445" r:id="rId326" display="http://docinfogroupe.inetpsa.com/ead/doc/ref.DITV_ATAT07_0231/v.vc/fiche"/>
    <hyperlink ref="D310" r:id="rId327" display="http://docinfogroupe.inetpsa.com/ead/doc/ref.DITV_ATAT07_0053/v.vc/fiche"/>
    <hyperlink ref="D545" r:id="rId328" display="http://docinfogroupe.inetpsa.com/ead/doc/ref.DPTA_DMOV06_0100/v.vc/fiche"/>
    <hyperlink ref="D55" r:id="rId329" display="http://docinfogroupe.inetpsa.com/ead/doc/ref.01266_13_00135/v.vc/fiche"/>
    <hyperlink ref="D464" r:id="rId330" display="http://docinfogroupe.inetpsa.com/ead/doc/ref.DITV_ATAT07_0262/v.vc/fiche"/>
    <hyperlink ref="D289" r:id="rId331" display="http://docinfogroupe.inetpsa.com/ead/doc/ref.DITV_ATAT07_0027/v.vc/fiche"/>
    <hyperlink ref="D338" r:id="rId332" display="http://docinfogroupe.inetpsa.com/ead/doc/ref.DITV_ATAT07_0084/v.vc/fiche"/>
    <hyperlink ref="D430" r:id="rId333" display="http://docinfogroupe.inetpsa.com/ead/doc/ref.DITV_ATAT07_0206/v.vc/fiche"/>
    <hyperlink ref="D567" r:id="rId334" display="http://docinfogroupe.inetpsa.com/ead/doc/ref.DPTA_DMOV06_0135/v.vc/fiche"/>
    <hyperlink ref="D444" r:id="rId335" display="http://docinfogroupe.inetpsa.com/ead/doc/ref.DITV_ATAT07_0230/v.vc/fiche"/>
    <hyperlink ref="D405" r:id="rId336" display="http://docinfogroupe.inetpsa.com/ead/doc/ref.DITV_ATAT07_0175/v.vc/fiche"/>
    <hyperlink ref="D633" r:id="rId337" display="http://docinfogroupe.inetpsa.com/ead/doc/ref.DTI_DPMO07_0080/v.vc/fiche"/>
    <hyperlink ref="D631" r:id="rId338" display="http://docinfogroupe.inetpsa.com/ead/doc/ref.DPTA_DMOV06_0246/v.vc/fiche"/>
    <hyperlink ref="D15" r:id="rId339" display="http://docinfogroupe.inetpsa.com/ead/doc/ref.01266_10_00644/v.vc/fiche"/>
    <hyperlink ref="D534" r:id="rId340" display="http://docinfogroupe.inetpsa.com/ead/doc/ref.DPTA_DMOV06_0067/v.vc/fiche"/>
    <hyperlink ref="D610" r:id="rId341" display="http://docinfogroupe.inetpsa.com/ead/doc/ref.DPTA_DMOV06_0206/v.vc/fiche"/>
    <hyperlink ref="D26" r:id="rId342" display="http://docinfogroupe.inetpsa.com/ead/doc/ref.01266_10_00745/v.vc/fiche"/>
    <hyperlink ref="D523" r:id="rId343" display="http://docinfogroupe.inetpsa.com/ead/doc/ref.DPTA_DMOV06_0013/v.vc/fiche"/>
    <hyperlink ref="D67" r:id="rId344" display="http://docinfogroupe.inetpsa.com/ead/doc/ref.01266_14_01080/v.vc/fiche"/>
    <hyperlink ref="D627" r:id="rId345" display="http://docinfogroupe.inetpsa.com/ead/doc/ref.DPTA_DMOV06_0242/v.vc/fiche"/>
    <hyperlink ref="D279" r:id="rId346" display="http://docinfogroupe.inetpsa.com/ead/doc/ref.DITV_ATAT07_0016/v.vc/fiche"/>
    <hyperlink ref="D33" r:id="rId347" display="http://docinfogroupe.inetpsa.com/ead/doc/ref.01266_10_01789/v.vc/fiche"/>
    <hyperlink ref="D296" r:id="rId348" display="http://docinfogroupe.inetpsa.com/ead/doc/ref.DITV_ATAT07_0034/v.vc/fiche"/>
    <hyperlink ref="D311" r:id="rId349" display="http://docinfogroupe.inetpsa.com/ead/doc/ref.DITV_ATAT07_0054/v.vc/fiche"/>
    <hyperlink ref="D483" r:id="rId350" display="http://docinfogroupe.inetpsa.com/ead/doc/ref.DITV_ATAT07_0290/v.vc/fiche"/>
    <hyperlink ref="D539" r:id="rId351" display="http://docinfogroupe.inetpsa.com/ead/doc/ref.DPTA_DMOV06_0087/v.vc/fiche"/>
    <hyperlink ref="D46" r:id="rId352" display="http://docinfogroupe.inetpsa.com/ead/doc/ref.01266_12_00280/v.vc/fiche"/>
    <hyperlink ref="D526" r:id="rId353" display="http://docinfogroupe.inetpsa.com/ead/doc/ref.DPTA_DMOV06_0016/v.vc/fiche"/>
    <hyperlink ref="D327" r:id="rId354" display="http://docinfogroupe.inetpsa.com/ead/doc/ref.DITV_ATAT07_0071/v.vc/fiche"/>
    <hyperlink ref="D587" r:id="rId355" display="http://docinfogroupe.inetpsa.com/ead/doc/ref.DPTA_DMOV06_0165/v.vc/fiche"/>
    <hyperlink ref="D608" r:id="rId356" display="http://docinfogroupe.inetpsa.com/ead/doc/ref.DPTA_DMOV06_0200/v.vc/fiche"/>
    <hyperlink ref="D271" r:id="rId357" display="http://docinfogroupe.inetpsa.com/ead/doc/ref.DITV_ATAT07_0008/v.vc/fiche"/>
    <hyperlink ref="D348" r:id="rId358" display="http://docinfogroupe.inetpsa.com/ead/doc/ref.DITV_ATAT07_0095/v.vc/fiche"/>
    <hyperlink ref="D316" r:id="rId359" display="http://docinfogroupe.inetpsa.com/ead/doc/ref.DITV_ATAT07_0059/v.vc/fiche"/>
    <hyperlink ref="D569" r:id="rId360" display="http://docinfogroupe.inetpsa.com/ead/doc/ref.DPTA_DMOV06_0138/v.vc/fiche"/>
    <hyperlink ref="D293" r:id="rId361" display="http://docinfogroupe.inetpsa.com/ead/doc/ref.DITV_ATAT07_0031/v.vc/fiche"/>
    <hyperlink ref="D451" r:id="rId362" display="http://docinfogroupe.inetpsa.com/ead/doc/ref.DITV_ATAT07_0241/v.vc/fiche"/>
    <hyperlink ref="D312" r:id="rId363" display="http://docinfogroupe.inetpsa.com/ead/doc/ref.DITV_ATAT07_0055/v.vc/fiche"/>
    <hyperlink ref="D285" r:id="rId364" display="http://docinfogroupe.inetpsa.com/ead/doc/ref.DITV_ATAT07_0022/v.vc/fiche"/>
    <hyperlink ref="D324" r:id="rId365" display="http://docinfogroupe.inetpsa.com/ead/doc/ref.DITV_ATAT07_0068/v.vc/fiche"/>
    <hyperlink ref="D32" r:id="rId366" display="http://docinfogroupe.inetpsa.com/ead/doc/ref.01266_10_01773/v.vc/fiche"/>
    <hyperlink ref="D581" r:id="rId367" display="http://docinfogroupe.inetpsa.com/ead/doc/ref.DPTA_DMOV06_0154/v.vc/fiche"/>
    <hyperlink ref="D4" r:id="rId368" display="http://docinfogroupe.inetpsa.com/ead/doc/ref.01266_09_00155/v.vc/fiche"/>
    <hyperlink ref="D442" r:id="rId369" display="http://docinfogroupe.inetpsa.com/ead/doc/ref.DITV_ATAT07_0225/v.vc/fiche"/>
    <hyperlink ref="D415" r:id="rId370" display="http://docinfogroupe.inetpsa.com/ead/doc/ref.DITV_ATAT07_0188/v.vc/fiche"/>
    <hyperlink ref="D297" r:id="rId371" display="http://docinfogroupe.inetpsa.com/ead/doc/ref.DITV_ATAT07_0035/v.vc/fiche"/>
    <hyperlink ref="D544" r:id="rId372" display="http://docinfogroupe.inetpsa.com/ead/doc/ref.DPTA_DMOV06_0098/v.vc/fiche"/>
    <hyperlink ref="D469" r:id="rId373" display="http://docinfogroupe.inetpsa.com/ead/doc/ref.DITV_ATAT07_0268/v.vc/fiche"/>
    <hyperlink ref="D512" r:id="rId374" display="http://docinfogroupe.inetpsa.com/ead/doc/ref.DPTA_DMOV05_0998/v.vc/fiche"/>
    <hyperlink ref="D63" r:id="rId375" display="http://docinfogroupe.inetpsa.com/ead/doc/ref.01266_13_00824/v.vc/fiche"/>
    <hyperlink ref="D23" r:id="rId376" display="http://docinfogroupe.inetpsa.com/ead/doc/ref.01266_10_00742/v.vc/fiche"/>
    <hyperlink ref="D261" r:id="rId377" display="http://docinfogroupe.inetpsa.com/ead/doc/ref.CMON_IMV08_0404/v.vc/fiche"/>
    <hyperlink ref="D11" r:id="rId378" display="http://docinfogroupe.inetpsa.com/ead/doc/ref.01266_10_00636/v.vc/fiche"/>
    <hyperlink ref="D579" r:id="rId379" display="http://docinfogroupe.inetpsa.com/ead/doc/ref.DPTA_DMOV06_0152/v.vc/fiche"/>
    <hyperlink ref="D416" r:id="rId380" display="http://docinfogroupe.inetpsa.com/ead/doc/ref.DITV_ATAT07_0190/v.vc/fiche"/>
    <hyperlink ref="D412" r:id="rId381" display="http://docinfogroupe.inetpsa.com/ead/doc/ref.DITV_ATAT07_0184/v.vc/fiche"/>
    <hyperlink ref="D527" r:id="rId382" display="http://docinfogroupe.inetpsa.com/ead/doc/ref.DPTA_DMOV06_0022/v.vc/fiche"/>
    <hyperlink ref="D379" r:id="rId383" display="http://docinfogroupe.inetpsa.com/ead/doc/ref.DITV_ATAT07_0137/v.vc/fiche"/>
    <hyperlink ref="D360" r:id="rId384" display="http://docinfogroupe.inetpsa.com/ead/doc/ref.DITV_ATAT07_0113/v.vc/fiche"/>
    <hyperlink ref="D319" r:id="rId385" display="http://docinfogroupe.inetpsa.com/ead/doc/ref.DITV_ATAT07_0062/v.vc/fiche"/>
    <hyperlink ref="D626" r:id="rId386" display="http://docinfogroupe.inetpsa.com/ead/doc/ref.DPTA_DMOV06_0240/v.vc/fiche"/>
    <hyperlink ref="D413" r:id="rId387" display="http://docinfogroupe.inetpsa.com/ead/doc/ref.DITV_ATAT07_0186/v.vc/fiche"/>
    <hyperlink ref="D506" r:id="rId388" display="http://docinfogroupe.inetpsa.com/ead/doc/ref.DPTA_DMOV05_0963/v.vc/fiche"/>
    <hyperlink ref="D302" r:id="rId389" display="http://docinfogroupe.inetpsa.com/ead/doc/ref.DITV_ATAT07_0040/v.vc/fiche"/>
    <hyperlink ref="D474" r:id="rId390" display="http://docinfogroupe.inetpsa.com/ead/doc/ref.DITV_ATAT07_0279/v.vc/fiche"/>
    <hyperlink ref="D288" r:id="rId391" display="http://docinfogroupe.inetpsa.com/ead/doc/ref.DITV_ATAT07_0026/v.vc/fiche"/>
    <hyperlink ref="D393" r:id="rId392" display="http://docinfogroupe.inetpsa.com/ead/doc/ref.DITV_ATAT07_0161/v.vc/fiche"/>
    <hyperlink ref="D17" r:id="rId393" display="http://docinfogroupe.inetpsa.com/ead/doc/ref.01266_10_00732/v.vc/fiche"/>
    <hyperlink ref="D349" r:id="rId394" display="http://docinfogroupe.inetpsa.com/ead/doc/ref.DITV_ATAT07_0096/v.vc/fiche"/>
    <hyperlink ref="D394" r:id="rId395" display="http://docinfogroupe.inetpsa.com/ead/doc/ref.DITV_ATAT07_0162/v.vc/fiche"/>
    <hyperlink ref="D563" r:id="rId396" display="http://docinfogroupe.inetpsa.com/ead/doc/ref.DPTA_DMOV06_0130/v.vc/fiche"/>
    <hyperlink ref="D560" r:id="rId397" display="http://docinfogroupe.inetpsa.com/ead/doc/ref.DPTA_DMOV06_0124/v.vc/fiche"/>
    <hyperlink ref="D476" r:id="rId398" display="http://docinfogroupe.inetpsa.com/ead/doc/ref.DITV_ATAT07_0281/v.vc/fiche"/>
    <hyperlink ref="D553" r:id="rId399" display="http://docinfogroupe.inetpsa.com/ead/doc/ref.DPTA_DMOV06_0115/v.vc/fiche"/>
    <hyperlink ref="D323" r:id="rId400" display="http://docinfogroupe.inetpsa.com/ead/doc/ref.DITV_ATAT07_0066/v.vc/fiche"/>
    <hyperlink ref="D611" r:id="rId401" display="http://docinfogroupe.inetpsa.com/ead/doc/ref.DPTA_DMOV06_0207/v.vc/fiche"/>
    <hyperlink ref="D473" r:id="rId402" display="http://docinfogroupe.inetpsa.com/ead/doc/ref.DITV_ATAT07_0278/v.vc/fiche"/>
    <hyperlink ref="D417" r:id="rId403" display="http://docinfogroupe.inetpsa.com/ead/doc/ref.DITV_ATAT07_0192/v.vc/fiche"/>
    <hyperlink ref="D549" r:id="rId404" display="http://docinfogroupe.inetpsa.com/ead/doc/ref.DPTA_DMOV06_0111/v.vc/fiche"/>
    <hyperlink ref="D384" r:id="rId405" display="http://docinfogroupe.inetpsa.com/ead/doc/ref.DITV_ATAT07_0148/v.vc/fiche"/>
    <hyperlink ref="D410" r:id="rId406" display="http://docinfogroupe.inetpsa.com/ead/doc/ref.DITV_ATAT07_0182/v.vc/fiche"/>
    <hyperlink ref="D58" r:id="rId407" display="http://docinfogroupe.inetpsa.com/ead/doc/ref.01266_13_00325/v.vc/fiche"/>
    <hyperlink ref="D25" r:id="rId408" display="http://docinfogroupe.inetpsa.com/ead/doc/ref.01266_10_00744/v.vc/fiche"/>
    <hyperlink ref="D525" r:id="rId409" display="http://docinfogroupe.inetpsa.com/ead/doc/ref.DPTA_DMOV06_0015/v.vc/fiche"/>
    <hyperlink ref="D458" r:id="rId410" display="http://docinfogroupe.inetpsa.com/ead/doc/ref.DITV_ATAT07_0255/v.vc/fiche"/>
    <hyperlink ref="D377" r:id="rId411" display="http://docinfogroupe.inetpsa.com/ead/doc/ref.DITV_ATAT07_0134/v.vc/fiche"/>
    <hyperlink ref="D612" r:id="rId412" display="http://docinfogroupe.inetpsa.com/ead/doc/ref.DPTA_DMOV06_0209/v.vc/fiche"/>
    <hyperlink ref="D57" r:id="rId413" display="http://docinfogroupe.inetpsa.com/ead/doc/ref.01266_13_00289/v.vc/fiche"/>
    <hyperlink ref="D519" r:id="rId414" display="http://docinfogroupe.inetpsa.com/ead/doc/ref.DPTA_DMOV05_1017/v.vc/fiche"/>
    <hyperlink ref="D625" r:id="rId415" display="http://docinfogroupe.inetpsa.com/ead/doc/ref.DPTA_DMOV06_0239/v.vc/fiche"/>
    <hyperlink ref="D36" r:id="rId416" display="http://docinfogroupe.inetpsa.com/ead/doc/ref.01266_11_00285/v.vc/fiche"/>
    <hyperlink ref="D481" r:id="rId417" display="http://docinfogroupe.inetpsa.com/ead/doc/ref.DITV_ATAT07_0287/v.vc/fiche"/>
    <hyperlink ref="D12" r:id="rId418" display="http://docinfogroupe.inetpsa.com/ead/doc/ref.01266_10_00637/v.vc/fiche"/>
    <hyperlink ref="D304" r:id="rId419" display="http://docinfogroupe.inetpsa.com/ead/doc/ref.DITV_ATAT07_0044/v.vc/fiche"/>
    <hyperlink ref="D521" r:id="rId420" display="http://docinfogroupe.inetpsa.com/ead/doc/ref.DPTA_DMOV06_0006/v.vc/fiche"/>
    <hyperlink ref="D629" r:id="rId421" display="http://docinfogroupe.inetpsa.com/ead/doc/ref.DPTA_DMOV06_0244/v.vc/fiche"/>
    <hyperlink ref="D56" r:id="rId422" display="http://docinfogroupe.inetpsa.com/ead/doc/ref.01266_13_00240/v.vc/fiche"/>
    <hyperlink ref="D489" r:id="rId423" display="http://docinfogroupe.inetpsa.com/ead/doc/ref.DITV_ATAT07_0298/v.vc/fiche"/>
    <hyperlink ref="D524" r:id="rId424" display="http://docinfogroupe.inetpsa.com/ead/doc/ref.DPTA_DMOV06_0014/v.vc/fiche"/>
    <hyperlink ref="D371" r:id="rId425" display="http://docinfogroupe.inetpsa.com/ead/doc/ref.DITV_ATAT07_0127/v.vc/fiche"/>
    <hyperlink ref="D503" r:id="rId426" display="http://docinfogroupe.inetpsa.com/ead/doc/ref.DPTA_DMOV05_0942/v.vc/fiche"/>
    <hyperlink ref="D386" r:id="rId427" display="http://docinfogroupe.inetpsa.com/ead/doc/ref.DITV_ATAT07_0150/v.vc/fiche"/>
    <hyperlink ref="D518" r:id="rId428" display="http://docinfogroupe.inetpsa.com/ead/doc/ref.DPTA_DMOV05_1016/v.vc/fiche"/>
    <hyperlink ref="D308" r:id="rId429" display="http://docinfogroupe.inetpsa.com/ead/doc/ref.DITV_ATAT07_0051/v.vc/fiche"/>
    <hyperlink ref="D390" r:id="rId430" display="http://docinfogroupe.inetpsa.com/ead/doc/ref.DITV_ATAT07_0157/v.vc/fiche"/>
    <hyperlink ref="D382" r:id="rId431" display="http://docinfogroupe.inetpsa.com/ead/doc/ref.DITV_ATAT07_0142/v.vc/fiche"/>
    <hyperlink ref="D510" r:id="rId432" display="http://docinfogroupe.inetpsa.com/ead/doc/ref.DPTA_DMOV05_0980/v.vc/fiche"/>
    <hyperlink ref="D546" r:id="rId433" display="http://docinfogroupe.inetpsa.com/ead/doc/ref.DPTA_DMOV06_0103/v.vc/fiche"/>
    <hyperlink ref="D609" r:id="rId434" display="http://docinfogroupe.inetpsa.com/ead/doc/ref.DPTA_DMOV06_0204/v.vc/fiche"/>
    <hyperlink ref="D396" r:id="rId435" display="http://docinfogroupe.inetpsa.com/ead/doc/ref.DITV_ATAT07_0164/v.vc/fiche"/>
    <hyperlink ref="D409" r:id="rId436" display="http://docinfogroupe.inetpsa.com/ead/doc/ref.DITV_ATAT07_0181/v.vc/fiche"/>
    <hyperlink ref="D76" r:id="rId437"/>
    <hyperlink ref="D81" r:id="rId438" display="http://docinfogroupe.inetpsa.com/ead/doc/ref.01266_16_00711/v.vc/fiche"/>
    <hyperlink ref="D79" r:id="rId439" display="http://docinfogroupe.inetpsa.com/ead/doc/ref.01266_16_00647/v.vc/fiche"/>
    <hyperlink ref="D78" r:id="rId440" display="http://docinfogroupe.inetpsa.com/ead/doc/ref.01266_16_00639/v.vc/fiche"/>
    <hyperlink ref="D600" r:id="rId441" display="http://docinfogroupe.inetpsa.com/ead/doc/ref.DPTA_DMOV06_0189/v.vc/fiche"/>
    <hyperlink ref="D82" r:id="rId442" display="http://docinfogroupe.inetpsa.com/ead/doc/ref.01266_16_00712/v.vc/fiche"/>
    <hyperlink ref="D84" r:id="rId443" display="http://docinfogroupe.inetpsa.com/ead/doc/ref.01266_16_00840/v.vc/fiche"/>
    <hyperlink ref="D83" r:id="rId444" display="http://docinfogroupe.inetpsa.com/ead/doc/ref.01266_16_00801/v.vc/fiche"/>
    <hyperlink ref="D77" r:id="rId445"/>
    <hyperlink ref="D80" r:id="rId446" display="http://docinfogroupe.inetpsa.com/ead/doc/ref.01266_16_00706/v.vc/fiche"/>
    <hyperlink ref="D87" r:id="rId447" display="http://docinfogroupe.inetpsa.com/ead/doc/ref.01266_17_00136/v.vc/fiche"/>
    <hyperlink ref="D85" r:id="rId448" display="http://docinfogroupe.inetpsa.com/ead/doc/ref.01266_16_01515/v.vc/fiche"/>
    <hyperlink ref="D86" r:id="rId449" display="http://docinfogroupe.inetpsa.com/ead/doc/ref.01266_16_01594/v.vc/fiche"/>
    <hyperlink ref="D72" r:id="rId450" display="http://docinfogroupe.inetpsa.com/ead/doc/ref.01266_15_00738/v.vc/fiche"/>
    <hyperlink ref="D89" r:id="rId451" display="http://docinfogroupe.inetpsa.com/ead/doc/ref.01266_17_00608/v.vc/fiche"/>
    <hyperlink ref="D90" r:id="rId452"/>
    <hyperlink ref="D88" r:id="rId453"/>
    <hyperlink ref="D94" r:id="rId454"/>
    <hyperlink ref="D91" r:id="rId455" display="http://docinfogroupe.inetpsa.com/ead/doc/document_view.action?ref=01266_17_01054&amp;v=vc"/>
    <hyperlink ref="D93" r:id="rId456" display="http://docinfogroupe.inetpsa.com/ead/doc/document_view.action?ref=01266_17_01167&amp;v=vc"/>
    <hyperlink ref="D71" r:id="rId457"/>
    <hyperlink ref="D74" r:id="rId458"/>
    <hyperlink ref="D97" r:id="rId459"/>
    <hyperlink ref="D92" r:id="rId460" display="http://docinfogroupe.inetpsa.com/ead/doc/document_view.action?ref=01266_17_01156&amp;v=vc"/>
    <hyperlink ref="D595" r:id="rId461" display="http://docinfogroupe.inetpsa.com/ead/doc/ref.DPTA_DMOV06_0181/v.vc/fiche"/>
    <hyperlink ref="D103" r:id="rId462" display="http://docinfogroupe.inetpsa.com/ead/doc/document_view.action?ref=01266_18_01165&amp;v=0.2"/>
    <hyperlink ref="D96" r:id="rId463"/>
    <hyperlink ref="D102" r:id="rId464"/>
    <hyperlink ref="D99" r:id="rId465"/>
    <hyperlink ref="D100" r:id="rId466"/>
    <hyperlink ref="D101" r:id="rId467"/>
    <hyperlink ref="D107" r:id="rId468" display="01266_19_00185 "/>
    <hyperlink ref="D105" r:id="rId469"/>
    <hyperlink ref="D104" r:id="rId470"/>
    <hyperlink ref="D108" r:id="rId471" display="http://docinfogroupe.inetpsa.com/ead/doc/ref.01266_19_00211/v.vc/fiche"/>
    <hyperlink ref="D111" r:id="rId472"/>
    <hyperlink ref="D110" r:id="rId473"/>
    <hyperlink ref="D117" r:id="rId474"/>
    <hyperlink ref="D120" r:id="rId475"/>
    <hyperlink ref="D119" r:id="rId476"/>
    <hyperlink ref="D115" r:id="rId477"/>
    <hyperlink ref="D132" r:id="rId478"/>
    <hyperlink ref="D126" r:id="rId479"/>
    <hyperlink ref="D121" r:id="rId480"/>
    <hyperlink ref="D130" r:id="rId481"/>
    <hyperlink ref="D128" r:id="rId482"/>
    <hyperlink ref="D131" r:id="rId483"/>
    <hyperlink ref="D129" r:id="rId484"/>
    <hyperlink ref="D122" r:id="rId485"/>
    <hyperlink ref="D133" r:id="rId486"/>
    <hyperlink ref="D95" r:id="rId487" display="01266_18_00258 "/>
    <hyperlink ref="D137" r:id="rId488"/>
    <hyperlink ref="D147" r:id="rId489"/>
    <hyperlink ref="D116" r:id="rId490"/>
    <hyperlink ref="D114" r:id="rId491"/>
    <hyperlink ref="D150" r:id="rId492"/>
    <hyperlink ref="D136" r:id="rId493"/>
    <hyperlink ref="D143" r:id="rId494"/>
    <hyperlink ref="D134" r:id="rId495"/>
    <hyperlink ref="D118" r:id="rId496"/>
    <hyperlink ref="D112" r:id="rId497"/>
    <hyperlink ref="D146" r:id="rId498"/>
    <hyperlink ref="D135" r:id="rId499" display="01266_19_00778 "/>
    <hyperlink ref="D140" r:id="rId500"/>
    <hyperlink ref="D153" r:id="rId501"/>
    <hyperlink ref="D154" r:id="rId502"/>
    <hyperlink ref="D149" r:id="rId503" display="01266_19_00840 "/>
    <hyperlink ref="D125" r:id="rId504"/>
    <hyperlink ref="D151" r:id="rId505"/>
    <hyperlink ref="D142" r:id="rId506"/>
    <hyperlink ref="D127" r:id="rId507"/>
    <hyperlink ref="D139" r:id="rId508"/>
    <hyperlink ref="D168" r:id="rId509" display="01266_20_00770 "/>
    <hyperlink ref="D170" r:id="rId510"/>
    <hyperlink ref="D148" r:id="rId511"/>
    <hyperlink ref="D171" r:id="rId512"/>
    <hyperlink ref="D172" r:id="rId513" display="01266_20_00774 "/>
    <hyperlink ref="D169" r:id="rId514"/>
    <hyperlink ref="D156" r:id="rId515"/>
    <hyperlink ref="D155" r:id="rId516"/>
    <hyperlink ref="D145" r:id="rId517"/>
    <hyperlink ref="D152" r:id="rId518"/>
    <hyperlink ref="D173" r:id="rId519"/>
    <hyperlink ref="D167" r:id="rId520"/>
    <hyperlink ref="D144" r:id="rId521"/>
    <hyperlink ref="D165" r:id="rId522"/>
    <hyperlink ref="D160" r:id="rId523"/>
    <hyperlink ref="D162" r:id="rId524"/>
    <hyperlink ref="D164" r:id="rId525"/>
    <hyperlink ref="D163" r:id="rId526"/>
    <hyperlink ref="D166" r:id="rId527"/>
    <hyperlink ref="D141" r:id="rId528"/>
    <hyperlink ref="D174" r:id="rId529" display=" 01266_20_00776"/>
    <hyperlink ref="D159" r:id="rId530"/>
    <hyperlink ref="D123" r:id="rId531"/>
    <hyperlink ref="D161" r:id="rId532"/>
    <hyperlink ref="D106" r:id="rId533"/>
    <hyperlink ref="D158" r:id="rId534"/>
    <hyperlink ref="D157" r:id="rId535"/>
    <hyperlink ref="D138" r:id="rId536"/>
    <hyperlink ref="D176" r:id="rId537"/>
    <hyperlink ref="D178" r:id="rId538"/>
    <hyperlink ref="D192" r:id="rId539"/>
    <hyperlink ref="D195" r:id="rId540"/>
    <hyperlink ref="D207" r:id="rId541"/>
    <hyperlink ref="D205" r:id="rId542"/>
    <hyperlink ref="D194" r:id="rId543"/>
    <hyperlink ref="D184" r:id="rId544"/>
    <hyperlink ref="D183" r:id="rId545"/>
    <hyperlink ref="D189" r:id="rId546"/>
    <hyperlink ref="D201" r:id="rId547"/>
    <hyperlink ref="D218" r:id="rId548"/>
    <hyperlink ref="D206" r:id="rId549"/>
    <hyperlink ref="D216" r:id="rId550"/>
    <hyperlink ref="D177" r:id="rId551"/>
    <hyperlink ref="D187" r:id="rId552"/>
    <hyperlink ref="D186" r:id="rId553"/>
    <hyperlink ref="D200" r:id="rId554" display="01266_22_00516 "/>
    <hyperlink ref="D215" r:id="rId555"/>
    <hyperlink ref="D209" r:id="rId556"/>
    <hyperlink ref="D204" r:id="rId557"/>
    <hyperlink ref="D213" r:id="rId558"/>
    <hyperlink ref="D210" r:id="rId559"/>
    <hyperlink ref="D212" r:id="rId560"/>
    <hyperlink ref="D211" r:id="rId561"/>
    <hyperlink ref="D214" r:id="rId562"/>
    <hyperlink ref="D203" r:id="rId563"/>
    <hyperlink ref="D193" r:id="rId564"/>
    <hyperlink ref="D217" r:id="rId565"/>
    <hyperlink ref="D222" r:id="rId566"/>
    <hyperlink ref="D225" r:id="rId567"/>
    <hyperlink ref="D198" r:id="rId568"/>
    <hyperlink ref="D197" r:id="rId569"/>
    <hyperlink ref="D223" r:id="rId570"/>
    <hyperlink ref="D231" r:id="rId571"/>
    <hyperlink ref="D230" r:id="rId572"/>
    <hyperlink ref="D228" r:id="rId573"/>
    <hyperlink ref="D202" r:id="rId574"/>
    <hyperlink ref="D227" r:id="rId575"/>
    <hyperlink ref="D219" r:id="rId576"/>
    <hyperlink ref="D220" r:id="rId577"/>
    <hyperlink ref="D221" r:id="rId578"/>
    <hyperlink ref="D224" r:id="rId579"/>
    <hyperlink ref="D226" r:id="rId580"/>
    <hyperlink ref="D199" r:id="rId581"/>
    <hyperlink ref="D208" r:id="rId582"/>
    <hyperlink ref="D229" r:id="rId583"/>
    <hyperlink ref="D196" r:id="rId584"/>
    <hyperlink ref="D98" r:id="rId585"/>
    <hyperlink ref="D190" r:id="rId586"/>
    <hyperlink ref="D188" r:id="rId587"/>
    <hyperlink ref="D191" r:id="rId588"/>
    <hyperlink ref="D124" r:id="rId589"/>
    <hyperlink ref="D233" r:id="rId590"/>
    <hyperlink ref="D232" r:id="rId591"/>
    <hyperlink ref="D259" r:id="rId592"/>
    <hyperlink ref="D260" r:id="rId593"/>
    <hyperlink ref="D258" r:id="rId594"/>
    <hyperlink ref="D251" r:id="rId595"/>
    <hyperlink ref="D252" r:id="rId596"/>
    <hyperlink ref="D253" r:id="rId597"/>
    <hyperlink ref="D254" r:id="rId598"/>
    <hyperlink ref="D255" r:id="rId599"/>
    <hyperlink ref="D256" r:id="rId600"/>
    <hyperlink ref="D257" r:id="rId601"/>
    <hyperlink ref="D242" r:id="rId602"/>
    <hyperlink ref="D241" r:id="rId603"/>
    <hyperlink ref="D240" r:id="rId604"/>
    <hyperlink ref="D239" r:id="rId605"/>
    <hyperlink ref="D236" r:id="rId606"/>
    <hyperlink ref="D238" r:id="rId607"/>
    <hyperlink ref="D234" r:id="rId608"/>
    <hyperlink ref="D237" r:id="rId609"/>
    <hyperlink ref="D250" r:id="rId610"/>
    <hyperlink ref="D249" r:id="rId611"/>
    <hyperlink ref="D248" r:id="rId612"/>
    <hyperlink ref="D247" r:id="rId613"/>
    <hyperlink ref="D246" r:id="rId614"/>
    <hyperlink ref="D244" r:id="rId615"/>
    <hyperlink ref="D245" r:id="rId616"/>
    <hyperlink ref="D243" r:id="rId617"/>
    <hyperlink ref="D235" r:id="rId618"/>
    <hyperlink ref="D75" r:id="rId619"/>
    <hyperlink ref="D334" r:id="rId620"/>
    <hyperlink ref="D630" r:id="rId621"/>
    <hyperlink ref="D636" r:id="rId622"/>
    <hyperlink ref="D637" r:id="rId623"/>
    <hyperlink ref="D638" r:id="rId624"/>
    <hyperlink ref="D639" r:id="rId625"/>
    <hyperlink ref="D641" r:id="rId626"/>
    <hyperlink ref="D642" r:id="rId627"/>
    <hyperlink ref="D643" r:id="rId628"/>
  </hyperlinks>
  <pageMargins left="0.7" right="0.7" top="0.75" bottom="0.75" header="0.3" footer="0.3"/>
  <pageSetup paperSize="9" orientation="portrait" r:id="rId6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G302"/>
  <sheetViews>
    <sheetView showGridLines="0" zoomScale="91" zoomScaleNormal="91" workbookViewId="0">
      <selection activeCell="F15" sqref="F15"/>
    </sheetView>
  </sheetViews>
  <sheetFormatPr baseColWidth="10" defaultColWidth="11.42578125" defaultRowHeight="15" x14ac:dyDescent="0.25"/>
  <cols>
    <col min="1" max="1" width="2.28515625" style="45" customWidth="1"/>
    <col min="2" max="2" width="15.5703125" style="45" customWidth="1"/>
    <col min="3" max="3" width="49" style="45" customWidth="1"/>
    <col min="4" max="4" width="13.140625" style="45" customWidth="1"/>
    <col min="5" max="5" width="15.85546875" style="45" customWidth="1"/>
    <col min="6" max="16384" width="11.42578125" style="45"/>
  </cols>
  <sheetData>
    <row r="1" spans="2:7" s="41" customFormat="1" ht="31.15" customHeight="1" x14ac:dyDescent="0.25">
      <c r="B1" s="40"/>
    </row>
    <row r="2" spans="2:7" ht="18.75" x14ac:dyDescent="0.3">
      <c r="B2" s="42"/>
      <c r="C2" s="43"/>
      <c r="D2" s="44"/>
      <c r="E2" s="44"/>
      <c r="G2" s="46"/>
    </row>
    <row r="3" spans="2:7" x14ac:dyDescent="0.25">
      <c r="B3" s="47"/>
      <c r="C3" s="48"/>
      <c r="D3" s="49"/>
      <c r="E3" s="50"/>
    </row>
    <row r="4" spans="2:7" ht="26.25" x14ac:dyDescent="0.25">
      <c r="B4" s="47"/>
      <c r="C4" s="53" t="s">
        <v>2575</v>
      </c>
      <c r="D4" s="49"/>
      <c r="E4" s="50"/>
    </row>
    <row r="5" spans="2:7" ht="26.25" x14ac:dyDescent="0.25">
      <c r="B5" s="47"/>
      <c r="C5" s="53"/>
      <c r="D5" s="49"/>
      <c r="E5" s="50"/>
    </row>
    <row r="6" spans="2:7" ht="26.25" x14ac:dyDescent="0.25">
      <c r="B6" s="47"/>
      <c r="C6" s="53" t="s">
        <v>2573</v>
      </c>
      <c r="D6" s="49"/>
      <c r="E6" s="50"/>
    </row>
    <row r="7" spans="2:7" ht="25.5" x14ac:dyDescent="0.25">
      <c r="B7" s="47"/>
      <c r="C7" s="54" t="s">
        <v>2574</v>
      </c>
      <c r="D7" s="49"/>
      <c r="E7" s="50"/>
    </row>
    <row r="8" spans="2:7" x14ac:dyDescent="0.25">
      <c r="B8" s="47"/>
      <c r="C8" s="48"/>
      <c r="D8" s="49"/>
      <c r="E8" s="50"/>
    </row>
    <row r="9" spans="2:7" x14ac:dyDescent="0.25">
      <c r="B9" s="47"/>
      <c r="C9" s="48"/>
      <c r="D9" s="49"/>
      <c r="E9" s="50"/>
    </row>
    <row r="10" spans="2:7" x14ac:dyDescent="0.25">
      <c r="B10" s="47"/>
      <c r="C10" s="48"/>
      <c r="D10" s="49"/>
      <c r="E10" s="50"/>
    </row>
    <row r="11" spans="2:7" x14ac:dyDescent="0.25">
      <c r="B11" s="47"/>
      <c r="C11" s="48"/>
      <c r="D11" s="49"/>
      <c r="E11" s="50"/>
    </row>
    <row r="12" spans="2:7" x14ac:dyDescent="0.25">
      <c r="B12" s="47"/>
      <c r="C12" s="48"/>
      <c r="D12" s="49"/>
      <c r="E12" s="50"/>
    </row>
    <row r="13" spans="2:7" x14ac:dyDescent="0.25">
      <c r="B13" s="47"/>
      <c r="C13" s="48"/>
      <c r="D13" s="49"/>
      <c r="E13" s="50"/>
    </row>
    <row r="14" spans="2:7" x14ac:dyDescent="0.25">
      <c r="B14" s="47"/>
      <c r="C14" s="52" t="s">
        <v>2576</v>
      </c>
      <c r="D14" s="49"/>
      <c r="E14" s="50"/>
    </row>
    <row r="15" spans="2:7" x14ac:dyDescent="0.25">
      <c r="B15" s="47"/>
      <c r="C15"/>
      <c r="D15" s="49"/>
      <c r="E15" s="50"/>
    </row>
    <row r="16" spans="2:7" x14ac:dyDescent="0.25">
      <c r="B16" s="47"/>
      <c r="C16" s="52"/>
      <c r="D16" s="49"/>
      <c r="E16" s="50"/>
    </row>
    <row r="17" spans="2:5" x14ac:dyDescent="0.25">
      <c r="B17" s="47"/>
      <c r="C17" s="52"/>
      <c r="D17" s="49"/>
      <c r="E17" s="50"/>
    </row>
    <row r="18" spans="2:5" x14ac:dyDescent="0.25">
      <c r="B18" s="47"/>
      <c r="C18" s="48"/>
      <c r="D18" s="49"/>
      <c r="E18" s="50"/>
    </row>
    <row r="19" spans="2:5" x14ac:dyDescent="0.25">
      <c r="B19" s="47"/>
      <c r="C19" s="48"/>
      <c r="D19" s="49"/>
      <c r="E19" s="50"/>
    </row>
    <row r="20" spans="2:5" x14ac:dyDescent="0.25">
      <c r="B20" s="47"/>
      <c r="C20" s="48"/>
      <c r="D20" s="49"/>
      <c r="E20" s="50"/>
    </row>
    <row r="21" spans="2:5" x14ac:dyDescent="0.25">
      <c r="B21" s="47"/>
      <c r="C21" s="48"/>
      <c r="D21" s="49"/>
      <c r="E21" s="50"/>
    </row>
    <row r="22" spans="2:5" x14ac:dyDescent="0.25">
      <c r="B22" s="47"/>
      <c r="C22" s="48"/>
      <c r="D22" s="49"/>
      <c r="E22" s="50"/>
    </row>
    <row r="23" spans="2:5" x14ac:dyDescent="0.25">
      <c r="B23" s="47"/>
      <c r="C23" s="48"/>
      <c r="D23" s="49"/>
      <c r="E23" s="50"/>
    </row>
    <row r="24" spans="2:5" x14ac:dyDescent="0.25">
      <c r="B24" s="47"/>
      <c r="C24" s="48"/>
      <c r="D24" s="49"/>
      <c r="E24" s="50"/>
    </row>
    <row r="25" spans="2:5" x14ac:dyDescent="0.25">
      <c r="B25" s="47"/>
      <c r="C25" s="48"/>
      <c r="D25" s="49"/>
      <c r="E25" s="50"/>
    </row>
    <row r="26" spans="2:5" x14ac:dyDescent="0.25">
      <c r="B26" s="47"/>
      <c r="C26" s="48"/>
      <c r="D26" s="49"/>
      <c r="E26" s="50"/>
    </row>
    <row r="27" spans="2:5" x14ac:dyDescent="0.25">
      <c r="B27" s="47"/>
      <c r="C27" s="48"/>
      <c r="D27" s="49"/>
      <c r="E27" s="50"/>
    </row>
    <row r="28" spans="2:5" x14ac:dyDescent="0.25">
      <c r="B28" s="47"/>
      <c r="C28" s="48"/>
      <c r="D28" s="49"/>
      <c r="E28" s="50"/>
    </row>
    <row r="29" spans="2:5" x14ac:dyDescent="0.25">
      <c r="B29" s="47"/>
      <c r="C29" s="48"/>
      <c r="D29" s="49"/>
      <c r="E29" s="50"/>
    </row>
    <row r="30" spans="2:5" x14ac:dyDescent="0.25">
      <c r="B30" s="47"/>
      <c r="C30" s="48"/>
      <c r="D30" s="49"/>
      <c r="E30" s="50"/>
    </row>
    <row r="31" spans="2:5" x14ac:dyDescent="0.25">
      <c r="B31" s="47"/>
      <c r="C31" s="48"/>
      <c r="D31" s="49"/>
      <c r="E31" s="50"/>
    </row>
    <row r="32" spans="2:5" x14ac:dyDescent="0.25">
      <c r="B32" s="47"/>
      <c r="C32" s="48"/>
      <c r="D32" s="49"/>
      <c r="E32" s="50"/>
    </row>
    <row r="33" spans="2:5" x14ac:dyDescent="0.25">
      <c r="B33" s="47"/>
      <c r="C33" s="48"/>
      <c r="D33" s="49"/>
      <c r="E33" s="50"/>
    </row>
    <row r="34" spans="2:5" x14ac:dyDescent="0.25">
      <c r="B34" s="47"/>
      <c r="C34" s="48"/>
      <c r="D34" s="49"/>
      <c r="E34" s="50"/>
    </row>
    <row r="35" spans="2:5" x14ac:dyDescent="0.25">
      <c r="B35" s="47"/>
      <c r="C35" s="48"/>
      <c r="D35" s="49"/>
      <c r="E35" s="50"/>
    </row>
    <row r="36" spans="2:5" x14ac:dyDescent="0.25">
      <c r="B36" s="47"/>
      <c r="C36" s="48"/>
      <c r="D36" s="49"/>
      <c r="E36" s="50"/>
    </row>
    <row r="37" spans="2:5" x14ac:dyDescent="0.25">
      <c r="B37" s="47"/>
      <c r="C37" s="48"/>
      <c r="D37" s="49"/>
      <c r="E37" s="50"/>
    </row>
    <row r="38" spans="2:5" x14ac:dyDescent="0.25">
      <c r="B38" s="47"/>
      <c r="C38" s="48"/>
      <c r="D38" s="49"/>
      <c r="E38" s="50"/>
    </row>
    <row r="39" spans="2:5" x14ac:dyDescent="0.25">
      <c r="B39" s="47"/>
      <c r="C39" s="48"/>
      <c r="D39" s="49"/>
      <c r="E39" s="50"/>
    </row>
    <row r="40" spans="2:5" x14ac:dyDescent="0.25">
      <c r="B40" s="47"/>
      <c r="C40" s="48"/>
      <c r="D40" s="49"/>
      <c r="E40" s="50"/>
    </row>
    <row r="41" spans="2:5" x14ac:dyDescent="0.25">
      <c r="B41" s="47"/>
      <c r="C41" s="48"/>
      <c r="D41" s="49"/>
      <c r="E41" s="50"/>
    </row>
    <row r="42" spans="2:5" x14ac:dyDescent="0.25">
      <c r="B42" s="47"/>
      <c r="C42" s="48"/>
      <c r="D42" s="49"/>
      <c r="E42" s="50"/>
    </row>
    <row r="43" spans="2:5" x14ac:dyDescent="0.25">
      <c r="B43" s="47"/>
      <c r="C43" s="48"/>
      <c r="D43" s="49"/>
      <c r="E43" s="50"/>
    </row>
    <row r="44" spans="2:5" x14ac:dyDescent="0.25">
      <c r="B44" s="47"/>
      <c r="C44" s="48"/>
      <c r="D44" s="49"/>
      <c r="E44" s="50"/>
    </row>
    <row r="45" spans="2:5" x14ac:dyDescent="0.25">
      <c r="B45" s="47"/>
      <c r="C45" s="48"/>
      <c r="D45" s="49"/>
      <c r="E45" s="50"/>
    </row>
    <row r="46" spans="2:5" x14ac:dyDescent="0.25">
      <c r="B46" s="47"/>
      <c r="C46" s="48"/>
      <c r="D46" s="49"/>
      <c r="E46" s="50"/>
    </row>
    <row r="47" spans="2:5" x14ac:dyDescent="0.25">
      <c r="B47" s="47"/>
      <c r="C47" s="48"/>
      <c r="D47" s="49"/>
      <c r="E47" s="50"/>
    </row>
    <row r="48" spans="2:5" x14ac:dyDescent="0.25">
      <c r="B48" s="47"/>
      <c r="C48" s="48"/>
      <c r="D48" s="49"/>
      <c r="E48" s="50"/>
    </row>
    <row r="49" spans="2:5" x14ac:dyDescent="0.25">
      <c r="B49" s="47"/>
      <c r="C49" s="48"/>
      <c r="D49" s="49"/>
      <c r="E49" s="50"/>
    </row>
    <row r="50" spans="2:5" x14ac:dyDescent="0.25">
      <c r="B50" s="47"/>
      <c r="C50" s="48"/>
      <c r="D50" s="49"/>
      <c r="E50" s="50"/>
    </row>
    <row r="51" spans="2:5" x14ac:dyDescent="0.25">
      <c r="B51" s="47"/>
      <c r="C51" s="48"/>
      <c r="D51" s="49"/>
      <c r="E51" s="50"/>
    </row>
    <row r="52" spans="2:5" x14ac:dyDescent="0.25">
      <c r="B52" s="47"/>
      <c r="C52" s="48"/>
      <c r="D52" s="49"/>
      <c r="E52" s="50"/>
    </row>
    <row r="53" spans="2:5" x14ac:dyDescent="0.25">
      <c r="B53" s="47"/>
      <c r="C53" s="48"/>
      <c r="D53" s="49"/>
      <c r="E53" s="50"/>
    </row>
    <row r="54" spans="2:5" x14ac:dyDescent="0.25">
      <c r="B54" s="47"/>
      <c r="C54" s="48"/>
      <c r="D54" s="49"/>
      <c r="E54" s="50"/>
    </row>
    <row r="55" spans="2:5" x14ac:dyDescent="0.25">
      <c r="B55" s="47"/>
      <c r="C55" s="48"/>
      <c r="D55" s="49"/>
      <c r="E55" s="50"/>
    </row>
    <row r="56" spans="2:5" x14ac:dyDescent="0.25">
      <c r="B56" s="47"/>
      <c r="C56" s="48"/>
      <c r="D56" s="49"/>
      <c r="E56" s="50"/>
    </row>
    <row r="57" spans="2:5" x14ac:dyDescent="0.25">
      <c r="B57" s="47"/>
      <c r="C57" s="48"/>
      <c r="D57" s="49"/>
      <c r="E57" s="50"/>
    </row>
    <row r="58" spans="2:5" x14ac:dyDescent="0.25">
      <c r="B58" s="47"/>
      <c r="C58" s="48"/>
      <c r="D58" s="49"/>
      <c r="E58" s="50"/>
    </row>
    <row r="59" spans="2:5" x14ac:dyDescent="0.25">
      <c r="B59" s="47"/>
      <c r="C59" s="48"/>
      <c r="D59" s="49"/>
      <c r="E59" s="50"/>
    </row>
    <row r="60" spans="2:5" x14ac:dyDescent="0.25">
      <c r="B60" s="47"/>
      <c r="C60" s="48"/>
      <c r="D60" s="49"/>
      <c r="E60" s="50"/>
    </row>
    <row r="61" spans="2:5" x14ac:dyDescent="0.25">
      <c r="B61" s="47"/>
      <c r="C61" s="48"/>
      <c r="D61" s="49"/>
      <c r="E61" s="50"/>
    </row>
    <row r="62" spans="2:5" x14ac:dyDescent="0.25">
      <c r="B62" s="47"/>
      <c r="C62" s="48"/>
      <c r="D62" s="49"/>
      <c r="E62" s="50"/>
    </row>
    <row r="63" spans="2:5" x14ac:dyDescent="0.25">
      <c r="B63" s="47"/>
      <c r="C63" s="48"/>
      <c r="D63" s="49"/>
      <c r="E63" s="50"/>
    </row>
    <row r="64" spans="2:5" x14ac:dyDescent="0.25">
      <c r="B64" s="47"/>
      <c r="C64" s="48"/>
      <c r="D64" s="49"/>
      <c r="E64" s="50"/>
    </row>
    <row r="65" spans="2:5" x14ac:dyDescent="0.25">
      <c r="B65" s="47"/>
      <c r="C65" s="48"/>
      <c r="D65" s="49"/>
      <c r="E65" s="50"/>
    </row>
    <row r="66" spans="2:5" x14ac:dyDescent="0.25">
      <c r="B66" s="47"/>
      <c r="C66" s="48"/>
      <c r="D66" s="49"/>
      <c r="E66" s="50"/>
    </row>
    <row r="67" spans="2:5" x14ac:dyDescent="0.25">
      <c r="B67" s="47"/>
      <c r="C67" s="48"/>
      <c r="D67" s="49"/>
      <c r="E67" s="50"/>
    </row>
    <row r="68" spans="2:5" x14ac:dyDescent="0.25">
      <c r="B68" s="47"/>
      <c r="C68" s="48"/>
      <c r="D68" s="49"/>
      <c r="E68" s="50"/>
    </row>
    <row r="69" spans="2:5" x14ac:dyDescent="0.25">
      <c r="B69" s="47"/>
      <c r="C69" s="48"/>
      <c r="D69" s="49"/>
      <c r="E69" s="50"/>
    </row>
    <row r="70" spans="2:5" x14ac:dyDescent="0.25">
      <c r="B70" s="47"/>
      <c r="C70" s="48"/>
      <c r="D70" s="49"/>
      <c r="E70" s="50"/>
    </row>
    <row r="71" spans="2:5" x14ac:dyDescent="0.25">
      <c r="B71" s="47"/>
      <c r="C71" s="48"/>
      <c r="D71" s="49"/>
      <c r="E71" s="50"/>
    </row>
    <row r="72" spans="2:5" x14ac:dyDescent="0.25">
      <c r="B72" s="47"/>
      <c r="C72" s="48"/>
      <c r="D72" s="49"/>
      <c r="E72" s="50"/>
    </row>
    <row r="73" spans="2:5" x14ac:dyDescent="0.25">
      <c r="B73" s="47"/>
      <c r="C73" s="48"/>
      <c r="D73" s="49"/>
      <c r="E73" s="50"/>
    </row>
    <row r="74" spans="2:5" x14ac:dyDescent="0.25">
      <c r="B74" s="47"/>
      <c r="C74" s="48"/>
      <c r="D74" s="49"/>
      <c r="E74" s="50"/>
    </row>
    <row r="75" spans="2:5" x14ac:dyDescent="0.25">
      <c r="B75" s="47"/>
      <c r="C75" s="48"/>
      <c r="D75" s="49"/>
      <c r="E75" s="50"/>
    </row>
    <row r="76" spans="2:5" x14ac:dyDescent="0.25">
      <c r="B76" s="47"/>
      <c r="C76" s="48"/>
      <c r="D76" s="49"/>
      <c r="E76" s="50"/>
    </row>
    <row r="77" spans="2:5" x14ac:dyDescent="0.25">
      <c r="B77" s="47"/>
      <c r="C77" s="48"/>
      <c r="D77" s="49"/>
      <c r="E77" s="50"/>
    </row>
    <row r="78" spans="2:5" x14ac:dyDescent="0.25">
      <c r="B78" s="47"/>
      <c r="C78" s="48"/>
      <c r="D78" s="49"/>
      <c r="E78" s="50"/>
    </row>
    <row r="79" spans="2:5" x14ac:dyDescent="0.25">
      <c r="B79" s="47"/>
      <c r="C79" s="48"/>
      <c r="D79" s="49"/>
      <c r="E79" s="50"/>
    </row>
    <row r="80" spans="2:5" x14ac:dyDescent="0.25">
      <c r="B80" s="47"/>
      <c r="C80" s="48"/>
      <c r="D80" s="49"/>
      <c r="E80" s="50"/>
    </row>
    <row r="81" spans="2:5" x14ac:dyDescent="0.25">
      <c r="B81" s="47"/>
      <c r="C81" s="48"/>
      <c r="D81" s="49"/>
      <c r="E81" s="50"/>
    </row>
    <row r="82" spans="2:5" x14ac:dyDescent="0.25">
      <c r="B82" s="47"/>
      <c r="C82" s="48"/>
      <c r="D82" s="49"/>
      <c r="E82" s="50"/>
    </row>
    <row r="83" spans="2:5" x14ac:dyDescent="0.25">
      <c r="B83" s="47"/>
      <c r="C83" s="48"/>
      <c r="D83" s="49"/>
      <c r="E83" s="50"/>
    </row>
    <row r="84" spans="2:5" x14ac:dyDescent="0.25">
      <c r="B84" s="47"/>
      <c r="C84" s="48"/>
      <c r="D84" s="49"/>
      <c r="E84" s="50"/>
    </row>
    <row r="85" spans="2:5" x14ac:dyDescent="0.25">
      <c r="B85" s="47"/>
      <c r="C85" s="48"/>
      <c r="D85" s="49"/>
      <c r="E85" s="50"/>
    </row>
    <row r="86" spans="2:5" x14ac:dyDescent="0.25">
      <c r="B86" s="47"/>
      <c r="C86" s="48"/>
      <c r="D86" s="49"/>
      <c r="E86" s="50"/>
    </row>
    <row r="87" spans="2:5" x14ac:dyDescent="0.25">
      <c r="B87" s="47"/>
      <c r="C87" s="48"/>
      <c r="D87" s="49"/>
      <c r="E87" s="50"/>
    </row>
    <row r="88" spans="2:5" x14ac:dyDescent="0.25">
      <c r="B88" s="47"/>
      <c r="C88" s="48"/>
      <c r="D88" s="49"/>
      <c r="E88" s="50"/>
    </row>
    <row r="89" spans="2:5" x14ac:dyDescent="0.25">
      <c r="B89" s="47"/>
      <c r="C89" s="48"/>
      <c r="D89" s="49"/>
      <c r="E89" s="50"/>
    </row>
    <row r="90" spans="2:5" x14ac:dyDescent="0.25">
      <c r="B90" s="47"/>
      <c r="C90" s="48"/>
      <c r="D90" s="49"/>
      <c r="E90" s="50"/>
    </row>
    <row r="91" spans="2:5" x14ac:dyDescent="0.25">
      <c r="B91" s="47"/>
      <c r="C91" s="48"/>
      <c r="D91" s="49"/>
      <c r="E91" s="50"/>
    </row>
    <row r="92" spans="2:5" x14ac:dyDescent="0.25">
      <c r="B92" s="47"/>
      <c r="C92" s="48"/>
      <c r="D92" s="49"/>
      <c r="E92" s="50"/>
    </row>
    <row r="93" spans="2:5" x14ac:dyDescent="0.25">
      <c r="B93" s="47"/>
      <c r="C93" s="48"/>
      <c r="D93" s="49"/>
      <c r="E93" s="50"/>
    </row>
    <row r="94" spans="2:5" x14ac:dyDescent="0.25">
      <c r="B94" s="47"/>
      <c r="C94" s="48"/>
      <c r="D94" s="49"/>
      <c r="E94" s="50"/>
    </row>
    <row r="95" spans="2:5" x14ac:dyDescent="0.25">
      <c r="B95" s="47"/>
      <c r="C95" s="48"/>
      <c r="D95" s="49"/>
      <c r="E95" s="50"/>
    </row>
    <row r="96" spans="2:5" x14ac:dyDescent="0.25">
      <c r="B96" s="47"/>
      <c r="C96" s="48"/>
      <c r="D96" s="49"/>
      <c r="E96" s="50"/>
    </row>
    <row r="97" spans="2:5" x14ac:dyDescent="0.25">
      <c r="B97" s="47"/>
      <c r="C97" s="48"/>
      <c r="D97" s="49"/>
      <c r="E97" s="50"/>
    </row>
    <row r="98" spans="2:5" x14ac:dyDescent="0.25">
      <c r="B98" s="47"/>
      <c r="C98" s="48"/>
      <c r="D98" s="49"/>
      <c r="E98" s="50"/>
    </row>
    <row r="99" spans="2:5" x14ac:dyDescent="0.25">
      <c r="B99" s="47"/>
      <c r="C99" s="48"/>
      <c r="D99" s="49"/>
      <c r="E99" s="50"/>
    </row>
    <row r="100" spans="2:5" x14ac:dyDescent="0.25">
      <c r="B100" s="47"/>
      <c r="C100" s="48"/>
      <c r="D100" s="49"/>
      <c r="E100" s="50"/>
    </row>
    <row r="101" spans="2:5" x14ac:dyDescent="0.25">
      <c r="B101" s="47"/>
      <c r="C101" s="48"/>
      <c r="D101" s="49"/>
      <c r="E101" s="50"/>
    </row>
    <row r="102" spans="2:5" x14ac:dyDescent="0.25">
      <c r="B102" s="47"/>
      <c r="C102" s="48"/>
      <c r="D102" s="49"/>
      <c r="E102" s="50"/>
    </row>
    <row r="103" spans="2:5" x14ac:dyDescent="0.25">
      <c r="B103" s="47"/>
      <c r="C103" s="48"/>
      <c r="D103" s="49"/>
      <c r="E103" s="50"/>
    </row>
    <row r="104" spans="2:5" x14ac:dyDescent="0.25">
      <c r="B104" s="47"/>
      <c r="C104" s="48"/>
      <c r="D104" s="49"/>
      <c r="E104" s="50"/>
    </row>
    <row r="105" spans="2:5" x14ac:dyDescent="0.25">
      <c r="B105" s="47"/>
      <c r="C105" s="48"/>
      <c r="D105" s="49"/>
      <c r="E105" s="50"/>
    </row>
    <row r="106" spans="2:5" x14ac:dyDescent="0.25">
      <c r="B106" s="47"/>
      <c r="C106" s="48"/>
      <c r="D106" s="49"/>
      <c r="E106" s="50"/>
    </row>
    <row r="107" spans="2:5" x14ac:dyDescent="0.25">
      <c r="B107" s="47"/>
      <c r="C107" s="48"/>
      <c r="D107" s="49"/>
      <c r="E107" s="50"/>
    </row>
    <row r="108" spans="2:5" x14ac:dyDescent="0.25">
      <c r="B108" s="47"/>
      <c r="C108" s="48"/>
      <c r="D108" s="49"/>
      <c r="E108" s="50"/>
    </row>
    <row r="109" spans="2:5" x14ac:dyDescent="0.25">
      <c r="B109" s="47"/>
      <c r="C109" s="48"/>
      <c r="D109" s="49"/>
      <c r="E109" s="50"/>
    </row>
    <row r="110" spans="2:5" x14ac:dyDescent="0.25">
      <c r="B110" s="47"/>
      <c r="C110" s="48"/>
      <c r="D110" s="49"/>
      <c r="E110" s="50"/>
    </row>
    <row r="111" spans="2:5" x14ac:dyDescent="0.25">
      <c r="B111" s="47"/>
      <c r="C111" s="48"/>
      <c r="D111" s="49"/>
      <c r="E111" s="50"/>
    </row>
    <row r="112" spans="2:5" x14ac:dyDescent="0.25">
      <c r="B112" s="47"/>
      <c r="C112" s="48"/>
      <c r="D112" s="49"/>
      <c r="E112" s="50"/>
    </row>
    <row r="113" spans="2:5" x14ac:dyDescent="0.25">
      <c r="B113" s="47"/>
      <c r="C113" s="48"/>
      <c r="D113" s="49"/>
      <c r="E113" s="50"/>
    </row>
    <row r="114" spans="2:5" x14ac:dyDescent="0.25">
      <c r="B114" s="47"/>
      <c r="C114" s="48"/>
      <c r="D114" s="49"/>
      <c r="E114" s="50"/>
    </row>
    <row r="115" spans="2:5" x14ac:dyDescent="0.25">
      <c r="B115" s="47"/>
      <c r="C115" s="48"/>
      <c r="D115" s="49"/>
      <c r="E115" s="50"/>
    </row>
    <row r="116" spans="2:5" x14ac:dyDescent="0.25">
      <c r="B116" s="47"/>
      <c r="C116" s="48"/>
      <c r="D116" s="49"/>
      <c r="E116" s="50"/>
    </row>
    <row r="117" spans="2:5" x14ac:dyDescent="0.25">
      <c r="B117" s="47"/>
      <c r="C117" s="48"/>
      <c r="D117" s="49"/>
      <c r="E117" s="50"/>
    </row>
    <row r="118" spans="2:5" x14ac:dyDescent="0.25">
      <c r="B118" s="47"/>
      <c r="C118" s="48"/>
      <c r="D118" s="49"/>
      <c r="E118" s="50"/>
    </row>
    <row r="119" spans="2:5" x14ac:dyDescent="0.25">
      <c r="B119" s="47"/>
      <c r="C119" s="48"/>
      <c r="D119" s="49"/>
      <c r="E119" s="50"/>
    </row>
    <row r="120" spans="2:5" x14ac:dyDescent="0.25">
      <c r="B120" s="47"/>
      <c r="C120" s="48"/>
      <c r="D120" s="49"/>
      <c r="E120" s="50"/>
    </row>
    <row r="121" spans="2:5" x14ac:dyDescent="0.25">
      <c r="B121" s="47"/>
      <c r="C121" s="48"/>
      <c r="D121" s="49"/>
      <c r="E121" s="50"/>
    </row>
    <row r="122" spans="2:5" x14ac:dyDescent="0.25">
      <c r="B122" s="47"/>
      <c r="C122" s="48"/>
      <c r="D122" s="49"/>
      <c r="E122" s="50"/>
    </row>
    <row r="123" spans="2:5" x14ac:dyDescent="0.25">
      <c r="B123" s="47"/>
      <c r="C123" s="48"/>
      <c r="D123" s="49"/>
      <c r="E123" s="50"/>
    </row>
    <row r="124" spans="2:5" x14ac:dyDescent="0.25">
      <c r="B124" s="47"/>
      <c r="C124" s="48"/>
      <c r="D124" s="49"/>
      <c r="E124" s="50"/>
    </row>
    <row r="125" spans="2:5" x14ac:dyDescent="0.25">
      <c r="B125" s="47"/>
      <c r="C125" s="48"/>
      <c r="D125" s="49"/>
      <c r="E125" s="50"/>
    </row>
    <row r="126" spans="2:5" x14ac:dyDescent="0.25">
      <c r="B126" s="47"/>
      <c r="C126" s="48"/>
      <c r="D126" s="49"/>
      <c r="E126" s="50"/>
    </row>
    <row r="127" spans="2:5" x14ac:dyDescent="0.25">
      <c r="B127" s="47"/>
      <c r="C127" s="48"/>
      <c r="D127" s="49"/>
      <c r="E127" s="50"/>
    </row>
    <row r="128" spans="2:5" x14ac:dyDescent="0.25">
      <c r="B128" s="47"/>
      <c r="C128" s="48"/>
      <c r="D128" s="49"/>
      <c r="E128" s="50"/>
    </row>
    <row r="129" spans="2:5" x14ac:dyDescent="0.25">
      <c r="B129" s="47"/>
      <c r="C129" s="48"/>
      <c r="D129" s="49"/>
      <c r="E129" s="50"/>
    </row>
    <row r="130" spans="2:5" x14ac:dyDescent="0.25">
      <c r="B130" s="47"/>
      <c r="C130" s="48"/>
      <c r="D130" s="49"/>
      <c r="E130" s="50"/>
    </row>
    <row r="131" spans="2:5" x14ac:dyDescent="0.25">
      <c r="B131" s="47"/>
      <c r="C131" s="48"/>
      <c r="D131" s="49"/>
      <c r="E131" s="50"/>
    </row>
    <row r="132" spans="2:5" x14ac:dyDescent="0.25">
      <c r="B132" s="47"/>
      <c r="C132" s="48"/>
      <c r="D132" s="49"/>
      <c r="E132" s="50"/>
    </row>
    <row r="133" spans="2:5" x14ac:dyDescent="0.25">
      <c r="B133" s="47"/>
      <c r="C133" s="48"/>
      <c r="D133" s="49"/>
      <c r="E133" s="50"/>
    </row>
    <row r="134" spans="2:5" x14ac:dyDescent="0.25">
      <c r="B134" s="47"/>
      <c r="C134" s="48"/>
      <c r="D134" s="49"/>
      <c r="E134" s="50"/>
    </row>
    <row r="135" spans="2:5" x14ac:dyDescent="0.25">
      <c r="B135" s="47"/>
      <c r="C135" s="48"/>
      <c r="D135" s="49"/>
      <c r="E135" s="50"/>
    </row>
    <row r="136" spans="2:5" x14ac:dyDescent="0.25">
      <c r="B136" s="47"/>
      <c r="C136" s="48"/>
      <c r="D136" s="49"/>
      <c r="E136" s="50"/>
    </row>
    <row r="137" spans="2:5" x14ac:dyDescent="0.25">
      <c r="B137" s="47"/>
      <c r="C137" s="48"/>
      <c r="D137" s="49"/>
      <c r="E137" s="50"/>
    </row>
    <row r="138" spans="2:5" x14ac:dyDescent="0.25">
      <c r="B138" s="47"/>
      <c r="C138" s="48"/>
      <c r="D138" s="49"/>
      <c r="E138" s="50"/>
    </row>
    <row r="139" spans="2:5" x14ac:dyDescent="0.25">
      <c r="B139" s="47"/>
      <c r="C139" s="48"/>
      <c r="D139" s="49"/>
      <c r="E139" s="50"/>
    </row>
    <row r="140" spans="2:5" x14ac:dyDescent="0.25">
      <c r="B140" s="47"/>
      <c r="C140" s="48"/>
      <c r="D140" s="49"/>
      <c r="E140" s="50"/>
    </row>
    <row r="141" spans="2:5" x14ac:dyDescent="0.25">
      <c r="B141" s="47"/>
      <c r="C141" s="48"/>
      <c r="D141" s="49"/>
      <c r="E141" s="50"/>
    </row>
    <row r="142" spans="2:5" x14ac:dyDescent="0.25">
      <c r="B142" s="47"/>
      <c r="C142" s="48"/>
      <c r="D142" s="49"/>
      <c r="E142" s="50"/>
    </row>
    <row r="143" spans="2:5" x14ac:dyDescent="0.25">
      <c r="B143" s="47"/>
      <c r="C143" s="48"/>
      <c r="D143" s="49"/>
      <c r="E143" s="50"/>
    </row>
    <row r="144" spans="2:5" x14ac:dyDescent="0.25">
      <c r="B144" s="47"/>
      <c r="C144" s="48"/>
      <c r="D144" s="49"/>
      <c r="E144" s="50"/>
    </row>
    <row r="145" spans="2:5" x14ac:dyDescent="0.25">
      <c r="B145" s="47"/>
      <c r="C145" s="48"/>
      <c r="D145" s="49"/>
      <c r="E145" s="50"/>
    </row>
    <row r="146" spans="2:5" x14ac:dyDescent="0.25">
      <c r="B146" s="47"/>
      <c r="C146" s="48"/>
      <c r="D146" s="49"/>
      <c r="E146" s="50"/>
    </row>
    <row r="147" spans="2:5" x14ac:dyDescent="0.25">
      <c r="B147" s="47"/>
      <c r="C147" s="48"/>
      <c r="D147" s="49"/>
      <c r="E147" s="50"/>
    </row>
    <row r="148" spans="2:5" x14ac:dyDescent="0.25">
      <c r="B148" s="47"/>
      <c r="C148" s="48"/>
      <c r="D148" s="49"/>
      <c r="E148" s="50"/>
    </row>
    <row r="149" spans="2:5" x14ac:dyDescent="0.25">
      <c r="B149" s="47"/>
      <c r="C149" s="48"/>
      <c r="D149" s="49"/>
      <c r="E149" s="50"/>
    </row>
    <row r="150" spans="2:5" x14ac:dyDescent="0.25">
      <c r="B150" s="47"/>
      <c r="C150" s="48"/>
      <c r="D150" s="49"/>
      <c r="E150" s="50"/>
    </row>
    <row r="151" spans="2:5" x14ac:dyDescent="0.25">
      <c r="B151" s="47"/>
      <c r="C151" s="48"/>
      <c r="D151" s="49"/>
      <c r="E151" s="50"/>
    </row>
    <row r="152" spans="2:5" x14ac:dyDescent="0.25">
      <c r="B152" s="47"/>
      <c r="C152" s="48"/>
      <c r="D152" s="49"/>
      <c r="E152" s="50"/>
    </row>
    <row r="153" spans="2:5" x14ac:dyDescent="0.25">
      <c r="B153" s="47"/>
      <c r="C153" s="48"/>
      <c r="D153" s="49"/>
      <c r="E153" s="50"/>
    </row>
    <row r="154" spans="2:5" x14ac:dyDescent="0.25">
      <c r="B154" s="47"/>
      <c r="C154" s="48"/>
      <c r="D154" s="49"/>
      <c r="E154" s="50"/>
    </row>
    <row r="155" spans="2:5" x14ac:dyDescent="0.25">
      <c r="B155" s="47"/>
      <c r="C155" s="48"/>
      <c r="D155" s="49"/>
      <c r="E155" s="50"/>
    </row>
    <row r="156" spans="2:5" x14ac:dyDescent="0.25">
      <c r="B156" s="47"/>
      <c r="C156" s="48"/>
      <c r="D156" s="49"/>
      <c r="E156" s="50"/>
    </row>
    <row r="157" spans="2:5" x14ac:dyDescent="0.25">
      <c r="B157" s="47"/>
      <c r="C157" s="48"/>
      <c r="D157" s="49"/>
      <c r="E157" s="50"/>
    </row>
    <row r="158" spans="2:5" x14ac:dyDescent="0.25">
      <c r="B158" s="47"/>
      <c r="C158" s="48"/>
      <c r="D158" s="49"/>
      <c r="E158" s="50"/>
    </row>
    <row r="159" spans="2:5" x14ac:dyDescent="0.25">
      <c r="B159" s="47"/>
      <c r="C159" s="48"/>
      <c r="D159" s="49"/>
      <c r="E159" s="50"/>
    </row>
    <row r="160" spans="2:5" x14ac:dyDescent="0.25">
      <c r="B160" s="47"/>
      <c r="C160" s="48"/>
      <c r="D160" s="49"/>
      <c r="E160" s="50"/>
    </row>
    <row r="161" spans="2:5" x14ac:dyDescent="0.25">
      <c r="B161" s="47"/>
      <c r="C161" s="48"/>
      <c r="D161" s="49"/>
      <c r="E161" s="50"/>
    </row>
    <row r="162" spans="2:5" x14ac:dyDescent="0.25">
      <c r="B162" s="47"/>
      <c r="C162" s="48"/>
      <c r="D162" s="49"/>
      <c r="E162" s="50"/>
    </row>
    <row r="163" spans="2:5" x14ac:dyDescent="0.25">
      <c r="B163" s="47"/>
      <c r="C163" s="48"/>
      <c r="D163" s="49"/>
      <c r="E163" s="50"/>
    </row>
    <row r="164" spans="2:5" x14ac:dyDescent="0.25">
      <c r="B164" s="47"/>
      <c r="C164" s="48"/>
      <c r="D164" s="49"/>
      <c r="E164" s="50"/>
    </row>
    <row r="165" spans="2:5" x14ac:dyDescent="0.25">
      <c r="B165" s="47"/>
      <c r="C165" s="48"/>
      <c r="D165" s="49"/>
      <c r="E165" s="50"/>
    </row>
    <row r="166" spans="2:5" x14ac:dyDescent="0.25">
      <c r="B166" s="47"/>
      <c r="C166" s="48"/>
      <c r="D166" s="49"/>
      <c r="E166" s="50"/>
    </row>
    <row r="167" spans="2:5" x14ac:dyDescent="0.25">
      <c r="B167" s="47"/>
      <c r="C167" s="48"/>
      <c r="D167" s="49"/>
      <c r="E167" s="50"/>
    </row>
    <row r="168" spans="2:5" x14ac:dyDescent="0.25">
      <c r="B168" s="47"/>
      <c r="C168" s="48"/>
      <c r="D168" s="49"/>
      <c r="E168" s="50"/>
    </row>
    <row r="169" spans="2:5" x14ac:dyDescent="0.25">
      <c r="B169" s="47"/>
      <c r="C169" s="48"/>
      <c r="D169" s="49"/>
      <c r="E169" s="50"/>
    </row>
    <row r="170" spans="2:5" x14ac:dyDescent="0.25">
      <c r="B170" s="47"/>
      <c r="C170" s="48"/>
      <c r="D170" s="49"/>
      <c r="E170" s="50"/>
    </row>
    <row r="171" spans="2:5" x14ac:dyDescent="0.25">
      <c r="B171" s="47"/>
      <c r="C171" s="48"/>
      <c r="D171" s="49"/>
      <c r="E171" s="50"/>
    </row>
    <row r="172" spans="2:5" x14ac:dyDescent="0.25">
      <c r="B172" s="47"/>
      <c r="C172" s="48"/>
      <c r="D172" s="49"/>
      <c r="E172" s="50"/>
    </row>
    <row r="173" spans="2:5" x14ac:dyDescent="0.25">
      <c r="B173" s="47"/>
      <c r="C173" s="48"/>
      <c r="D173" s="49"/>
      <c r="E173" s="50"/>
    </row>
    <row r="174" spans="2:5" x14ac:dyDescent="0.25">
      <c r="B174" s="47"/>
      <c r="C174" s="48"/>
      <c r="D174" s="49"/>
      <c r="E174" s="50"/>
    </row>
    <row r="175" spans="2:5" x14ac:dyDescent="0.25">
      <c r="B175" s="47"/>
      <c r="C175" s="48"/>
      <c r="D175" s="49"/>
      <c r="E175" s="50"/>
    </row>
    <row r="176" spans="2:5" x14ac:dyDescent="0.25">
      <c r="B176" s="47"/>
      <c r="C176" s="48"/>
      <c r="D176" s="49"/>
      <c r="E176" s="50"/>
    </row>
    <row r="177" spans="2:5" x14ac:dyDescent="0.25">
      <c r="B177" s="47"/>
      <c r="C177" s="48"/>
      <c r="D177" s="49"/>
      <c r="E177" s="50"/>
    </row>
    <row r="178" spans="2:5" x14ac:dyDescent="0.25">
      <c r="B178" s="47"/>
      <c r="C178" s="48"/>
      <c r="D178" s="49"/>
      <c r="E178" s="50"/>
    </row>
    <row r="179" spans="2:5" x14ac:dyDescent="0.25">
      <c r="B179" s="47"/>
      <c r="C179" s="48"/>
      <c r="D179" s="49"/>
      <c r="E179" s="50"/>
    </row>
    <row r="180" spans="2:5" x14ac:dyDescent="0.25">
      <c r="B180" s="47"/>
      <c r="C180" s="48"/>
      <c r="D180" s="49"/>
      <c r="E180" s="50"/>
    </row>
    <row r="181" spans="2:5" x14ac:dyDescent="0.25">
      <c r="B181" s="47"/>
      <c r="C181" s="48"/>
      <c r="D181" s="49"/>
      <c r="E181" s="50"/>
    </row>
    <row r="182" spans="2:5" x14ac:dyDescent="0.25">
      <c r="B182" s="47"/>
      <c r="C182" s="48"/>
      <c r="D182" s="49"/>
      <c r="E182" s="50"/>
    </row>
    <row r="183" spans="2:5" x14ac:dyDescent="0.25">
      <c r="B183" s="47"/>
      <c r="C183" s="48"/>
      <c r="D183" s="49"/>
      <c r="E183" s="50"/>
    </row>
    <row r="184" spans="2:5" x14ac:dyDescent="0.25">
      <c r="B184" s="47"/>
      <c r="C184" s="48"/>
      <c r="D184" s="49"/>
      <c r="E184" s="50"/>
    </row>
    <row r="185" spans="2:5" x14ac:dyDescent="0.25">
      <c r="B185" s="47"/>
      <c r="C185" s="48"/>
      <c r="D185" s="49"/>
      <c r="E185" s="50"/>
    </row>
    <row r="186" spans="2:5" x14ac:dyDescent="0.25">
      <c r="B186" s="47"/>
      <c r="C186" s="48"/>
      <c r="D186" s="49"/>
      <c r="E186" s="50"/>
    </row>
    <row r="187" spans="2:5" x14ac:dyDescent="0.25">
      <c r="B187" s="47"/>
      <c r="C187" s="48"/>
      <c r="D187" s="49"/>
      <c r="E187" s="50"/>
    </row>
    <row r="188" spans="2:5" x14ac:dyDescent="0.25">
      <c r="B188" s="47"/>
      <c r="C188" s="48"/>
      <c r="D188" s="49"/>
      <c r="E188" s="50"/>
    </row>
    <row r="189" spans="2:5" x14ac:dyDescent="0.25">
      <c r="B189" s="47"/>
      <c r="C189" s="48"/>
      <c r="D189" s="49"/>
      <c r="E189" s="50"/>
    </row>
    <row r="190" spans="2:5" x14ac:dyDescent="0.25">
      <c r="B190" s="47"/>
      <c r="C190" s="48"/>
      <c r="D190" s="49"/>
      <c r="E190" s="50"/>
    </row>
    <row r="191" spans="2:5" x14ac:dyDescent="0.25">
      <c r="B191" s="47"/>
      <c r="C191" s="48"/>
      <c r="D191" s="49"/>
      <c r="E191" s="50"/>
    </row>
    <row r="192" spans="2:5" x14ac:dyDescent="0.25">
      <c r="B192" s="47"/>
      <c r="C192" s="48"/>
      <c r="D192" s="49"/>
      <c r="E192" s="50"/>
    </row>
    <row r="193" spans="2:5" x14ac:dyDescent="0.25">
      <c r="B193" s="47"/>
      <c r="C193" s="48"/>
      <c r="D193" s="49"/>
      <c r="E193" s="50"/>
    </row>
    <row r="194" spans="2:5" x14ac:dyDescent="0.25">
      <c r="B194" s="47"/>
      <c r="C194" s="48"/>
      <c r="D194" s="49"/>
      <c r="E194" s="50"/>
    </row>
    <row r="195" spans="2:5" x14ac:dyDescent="0.25">
      <c r="B195" s="47"/>
      <c r="C195" s="48"/>
      <c r="D195" s="49"/>
      <c r="E195" s="50"/>
    </row>
    <row r="196" spans="2:5" x14ac:dyDescent="0.25">
      <c r="B196" s="47"/>
      <c r="C196" s="48"/>
      <c r="D196" s="49"/>
      <c r="E196" s="50"/>
    </row>
    <row r="197" spans="2:5" x14ac:dyDescent="0.25">
      <c r="B197" s="47"/>
      <c r="C197" s="48"/>
      <c r="D197" s="49"/>
      <c r="E197" s="50"/>
    </row>
    <row r="198" spans="2:5" x14ac:dyDescent="0.25">
      <c r="B198" s="47"/>
      <c r="C198" s="48"/>
      <c r="D198" s="49"/>
      <c r="E198" s="50"/>
    </row>
    <row r="199" spans="2:5" x14ac:dyDescent="0.25">
      <c r="B199" s="47"/>
      <c r="C199" s="48"/>
      <c r="D199" s="49"/>
      <c r="E199" s="50"/>
    </row>
    <row r="200" spans="2:5" x14ac:dyDescent="0.25">
      <c r="B200" s="47"/>
      <c r="C200" s="48"/>
      <c r="D200" s="49"/>
      <c r="E200" s="50"/>
    </row>
    <row r="201" spans="2:5" x14ac:dyDescent="0.25">
      <c r="B201" s="47"/>
      <c r="C201" s="48"/>
      <c r="D201" s="49"/>
      <c r="E201" s="50"/>
    </row>
    <row r="202" spans="2:5" x14ac:dyDescent="0.25">
      <c r="B202" s="47"/>
      <c r="C202" s="48"/>
      <c r="D202" s="49"/>
      <c r="E202" s="50"/>
    </row>
    <row r="203" spans="2:5" x14ac:dyDescent="0.25">
      <c r="B203" s="47"/>
      <c r="C203" s="48"/>
      <c r="D203" s="49"/>
      <c r="E203" s="50"/>
    </row>
    <row r="204" spans="2:5" x14ac:dyDescent="0.25">
      <c r="B204" s="47"/>
      <c r="C204" s="48"/>
      <c r="D204" s="49"/>
      <c r="E204" s="50"/>
    </row>
    <row r="205" spans="2:5" x14ac:dyDescent="0.25">
      <c r="B205" s="47"/>
      <c r="C205" s="48"/>
      <c r="D205" s="49"/>
      <c r="E205" s="50"/>
    </row>
    <row r="206" spans="2:5" x14ac:dyDescent="0.25">
      <c r="B206" s="47"/>
      <c r="C206" s="48"/>
      <c r="D206" s="49"/>
      <c r="E206" s="50"/>
    </row>
    <row r="207" spans="2:5" x14ac:dyDescent="0.25">
      <c r="B207" s="47"/>
      <c r="C207" s="48"/>
      <c r="D207" s="49"/>
      <c r="E207" s="50"/>
    </row>
    <row r="208" spans="2:5" x14ac:dyDescent="0.25">
      <c r="B208" s="47"/>
      <c r="C208" s="48"/>
      <c r="D208" s="49"/>
      <c r="E208" s="50"/>
    </row>
    <row r="209" spans="2:5" x14ac:dyDescent="0.25">
      <c r="B209" s="47"/>
      <c r="C209" s="48"/>
      <c r="D209" s="49"/>
      <c r="E209" s="50"/>
    </row>
    <row r="210" spans="2:5" x14ac:dyDescent="0.25">
      <c r="B210" s="47"/>
      <c r="C210" s="48"/>
      <c r="D210" s="49"/>
      <c r="E210" s="50"/>
    </row>
    <row r="211" spans="2:5" x14ac:dyDescent="0.25">
      <c r="B211" s="47"/>
      <c r="C211" s="48"/>
      <c r="D211" s="49"/>
      <c r="E211" s="50"/>
    </row>
    <row r="212" spans="2:5" x14ac:dyDescent="0.25">
      <c r="B212" s="47"/>
      <c r="C212" s="48"/>
      <c r="D212" s="49"/>
      <c r="E212" s="50"/>
    </row>
    <row r="213" spans="2:5" x14ac:dyDescent="0.25">
      <c r="B213" s="47"/>
      <c r="C213" s="48"/>
      <c r="D213" s="49"/>
      <c r="E213" s="50"/>
    </row>
    <row r="214" spans="2:5" x14ac:dyDescent="0.25">
      <c r="B214" s="47"/>
      <c r="C214" s="48"/>
      <c r="D214" s="49"/>
      <c r="E214" s="50"/>
    </row>
    <row r="215" spans="2:5" x14ac:dyDescent="0.25">
      <c r="B215" s="47"/>
      <c r="C215" s="48"/>
      <c r="D215" s="49"/>
      <c r="E215" s="50"/>
    </row>
    <row r="216" spans="2:5" x14ac:dyDescent="0.25">
      <c r="B216" s="47"/>
      <c r="C216" s="48"/>
      <c r="D216" s="49"/>
      <c r="E216" s="50"/>
    </row>
    <row r="217" spans="2:5" x14ac:dyDescent="0.25">
      <c r="B217" s="47"/>
      <c r="C217" s="48"/>
      <c r="D217" s="49"/>
      <c r="E217" s="50"/>
    </row>
    <row r="218" spans="2:5" x14ac:dyDescent="0.25">
      <c r="B218" s="47"/>
      <c r="C218" s="48"/>
      <c r="D218" s="49"/>
      <c r="E218" s="50"/>
    </row>
    <row r="219" spans="2:5" x14ac:dyDescent="0.25">
      <c r="B219" s="47"/>
      <c r="C219" s="48"/>
      <c r="D219" s="49"/>
      <c r="E219" s="50"/>
    </row>
    <row r="220" spans="2:5" x14ac:dyDescent="0.25">
      <c r="B220" s="47"/>
      <c r="C220" s="48"/>
      <c r="D220" s="49"/>
      <c r="E220" s="50"/>
    </row>
    <row r="221" spans="2:5" x14ac:dyDescent="0.25">
      <c r="B221" s="47"/>
      <c r="C221" s="48"/>
      <c r="D221" s="49"/>
      <c r="E221" s="50"/>
    </row>
    <row r="222" spans="2:5" x14ac:dyDescent="0.25">
      <c r="B222" s="47"/>
      <c r="C222" s="48"/>
      <c r="D222" s="49"/>
      <c r="E222" s="50"/>
    </row>
    <row r="223" spans="2:5" x14ac:dyDescent="0.25">
      <c r="B223" s="47"/>
      <c r="C223" s="48"/>
      <c r="D223" s="49"/>
      <c r="E223" s="50"/>
    </row>
    <row r="224" spans="2:5" x14ac:dyDescent="0.25">
      <c r="B224" s="47"/>
      <c r="C224" s="48"/>
      <c r="D224" s="49"/>
      <c r="E224" s="50"/>
    </row>
    <row r="225" spans="2:5" x14ac:dyDescent="0.25">
      <c r="B225" s="47"/>
      <c r="C225" s="48"/>
      <c r="D225" s="49"/>
      <c r="E225" s="50"/>
    </row>
    <row r="226" spans="2:5" x14ac:dyDescent="0.25">
      <c r="B226" s="47"/>
      <c r="C226" s="48"/>
      <c r="D226" s="49"/>
      <c r="E226" s="50"/>
    </row>
    <row r="227" spans="2:5" x14ac:dyDescent="0.25">
      <c r="B227" s="47"/>
      <c r="C227" s="48"/>
      <c r="D227" s="49"/>
      <c r="E227" s="50"/>
    </row>
    <row r="228" spans="2:5" x14ac:dyDescent="0.25">
      <c r="B228" s="47"/>
      <c r="C228" s="48"/>
      <c r="D228" s="49"/>
      <c r="E228" s="50"/>
    </row>
    <row r="229" spans="2:5" x14ac:dyDescent="0.25">
      <c r="B229" s="47"/>
      <c r="C229" s="48"/>
      <c r="D229" s="49"/>
      <c r="E229" s="50"/>
    </row>
    <row r="230" spans="2:5" x14ac:dyDescent="0.25">
      <c r="B230" s="47"/>
      <c r="C230" s="48"/>
      <c r="D230" s="49"/>
      <c r="E230" s="50"/>
    </row>
    <row r="231" spans="2:5" x14ac:dyDescent="0.25">
      <c r="B231" s="47"/>
      <c r="C231" s="48"/>
      <c r="D231" s="49"/>
      <c r="E231" s="50"/>
    </row>
    <row r="232" spans="2:5" x14ac:dyDescent="0.25">
      <c r="B232" s="47"/>
      <c r="C232" s="48"/>
      <c r="D232" s="49"/>
      <c r="E232" s="50"/>
    </row>
    <row r="233" spans="2:5" x14ac:dyDescent="0.25">
      <c r="B233" s="47"/>
      <c r="C233" s="48"/>
      <c r="D233" s="49"/>
      <c r="E233" s="50"/>
    </row>
    <row r="234" spans="2:5" x14ac:dyDescent="0.25">
      <c r="B234" s="47"/>
      <c r="C234" s="48"/>
      <c r="D234" s="49"/>
      <c r="E234" s="50"/>
    </row>
    <row r="235" spans="2:5" x14ac:dyDescent="0.25">
      <c r="B235" s="47"/>
      <c r="C235" s="48"/>
      <c r="D235" s="49"/>
      <c r="E235" s="50"/>
    </row>
    <row r="236" spans="2:5" x14ac:dyDescent="0.25">
      <c r="B236" s="47"/>
      <c r="C236" s="48"/>
      <c r="D236" s="49"/>
      <c r="E236" s="50"/>
    </row>
    <row r="237" spans="2:5" x14ac:dyDescent="0.25">
      <c r="B237" s="47"/>
      <c r="C237" s="48"/>
      <c r="D237" s="49"/>
      <c r="E237" s="50"/>
    </row>
    <row r="238" spans="2:5" x14ac:dyDescent="0.25">
      <c r="B238" s="47"/>
      <c r="C238" s="48"/>
      <c r="D238" s="49"/>
      <c r="E238" s="50"/>
    </row>
    <row r="239" spans="2:5" x14ac:dyDescent="0.25">
      <c r="B239" s="47"/>
      <c r="C239" s="48"/>
      <c r="D239" s="49"/>
      <c r="E239" s="50"/>
    </row>
    <row r="240" spans="2:5" x14ac:dyDescent="0.25">
      <c r="B240" s="47"/>
      <c r="C240" s="48"/>
      <c r="D240" s="49"/>
      <c r="E240" s="50"/>
    </row>
    <row r="241" spans="2:5" x14ac:dyDescent="0.25">
      <c r="B241" s="47"/>
      <c r="C241" s="48"/>
      <c r="D241" s="49"/>
      <c r="E241" s="50"/>
    </row>
    <row r="242" spans="2:5" x14ac:dyDescent="0.25">
      <c r="B242" s="47"/>
      <c r="C242" s="48"/>
      <c r="D242" s="49"/>
      <c r="E242" s="50"/>
    </row>
    <row r="243" spans="2:5" x14ac:dyDescent="0.25">
      <c r="B243" s="47"/>
      <c r="C243" s="48"/>
      <c r="D243" s="49"/>
      <c r="E243" s="50"/>
    </row>
    <row r="244" spans="2:5" x14ac:dyDescent="0.25">
      <c r="B244" s="47"/>
      <c r="C244" s="48"/>
      <c r="D244" s="49"/>
      <c r="E244" s="50"/>
    </row>
    <row r="245" spans="2:5" x14ac:dyDescent="0.25">
      <c r="B245" s="47"/>
      <c r="C245" s="48"/>
      <c r="D245" s="49"/>
      <c r="E245" s="50"/>
    </row>
    <row r="246" spans="2:5" x14ac:dyDescent="0.25">
      <c r="B246" s="47"/>
      <c r="C246" s="48"/>
      <c r="D246" s="49"/>
      <c r="E246" s="50"/>
    </row>
    <row r="247" spans="2:5" x14ac:dyDescent="0.25">
      <c r="B247" s="47"/>
      <c r="C247" s="48"/>
      <c r="D247" s="49"/>
      <c r="E247" s="50"/>
    </row>
    <row r="248" spans="2:5" x14ac:dyDescent="0.25">
      <c r="B248" s="47"/>
      <c r="C248" s="48"/>
      <c r="D248" s="49"/>
      <c r="E248" s="50"/>
    </row>
    <row r="249" spans="2:5" x14ac:dyDescent="0.25">
      <c r="B249" s="47"/>
      <c r="C249" s="48"/>
      <c r="D249" s="49"/>
      <c r="E249" s="50"/>
    </row>
    <row r="250" spans="2:5" x14ac:dyDescent="0.25">
      <c r="B250" s="47"/>
      <c r="C250" s="48"/>
      <c r="D250" s="49"/>
      <c r="E250" s="50"/>
    </row>
    <row r="251" spans="2:5" x14ac:dyDescent="0.25">
      <c r="B251" s="47"/>
      <c r="C251" s="48"/>
      <c r="D251" s="49"/>
      <c r="E251" s="50"/>
    </row>
    <row r="252" spans="2:5" x14ac:dyDescent="0.25">
      <c r="B252" s="47"/>
      <c r="C252" s="48"/>
      <c r="D252" s="49"/>
      <c r="E252" s="50"/>
    </row>
    <row r="253" spans="2:5" x14ac:dyDescent="0.25">
      <c r="B253" s="47"/>
      <c r="C253" s="48"/>
      <c r="D253" s="49"/>
      <c r="E253" s="50"/>
    </row>
    <row r="254" spans="2:5" x14ac:dyDescent="0.25">
      <c r="B254" s="47"/>
      <c r="C254" s="48"/>
      <c r="D254" s="49"/>
      <c r="E254" s="50"/>
    </row>
    <row r="255" spans="2:5" x14ac:dyDescent="0.25">
      <c r="B255" s="47"/>
      <c r="C255" s="48"/>
      <c r="D255" s="49"/>
      <c r="E255" s="50"/>
    </row>
    <row r="256" spans="2:5" x14ac:dyDescent="0.25">
      <c r="B256" s="47"/>
      <c r="C256" s="48"/>
      <c r="D256" s="49"/>
      <c r="E256" s="50"/>
    </row>
    <row r="257" spans="2:5" x14ac:dyDescent="0.25">
      <c r="B257" s="47"/>
      <c r="C257" s="48"/>
      <c r="D257" s="49"/>
      <c r="E257" s="50"/>
    </row>
    <row r="258" spans="2:5" x14ac:dyDescent="0.25">
      <c r="B258" s="47"/>
      <c r="C258" s="48"/>
      <c r="D258" s="49"/>
      <c r="E258" s="50"/>
    </row>
    <row r="259" spans="2:5" x14ac:dyDescent="0.25">
      <c r="B259" s="47"/>
      <c r="C259" s="48"/>
      <c r="D259" s="49"/>
      <c r="E259" s="50"/>
    </row>
    <row r="260" spans="2:5" x14ac:dyDescent="0.25">
      <c r="B260" s="47"/>
      <c r="C260" s="48"/>
      <c r="D260" s="49"/>
      <c r="E260" s="50"/>
    </row>
    <row r="261" spans="2:5" x14ac:dyDescent="0.25">
      <c r="B261" s="47"/>
      <c r="C261" s="48"/>
      <c r="D261" s="49"/>
      <c r="E261" s="50"/>
    </row>
    <row r="262" spans="2:5" x14ac:dyDescent="0.25">
      <c r="B262" s="47"/>
      <c r="C262" s="48"/>
      <c r="D262" s="49"/>
      <c r="E262" s="50"/>
    </row>
    <row r="263" spans="2:5" x14ac:dyDescent="0.25">
      <c r="B263" s="47"/>
      <c r="C263" s="48"/>
      <c r="D263" s="49"/>
      <c r="E263" s="50"/>
    </row>
    <row r="264" spans="2:5" x14ac:dyDescent="0.25">
      <c r="B264" s="47"/>
      <c r="C264" s="48"/>
      <c r="D264" s="49"/>
      <c r="E264" s="50"/>
    </row>
    <row r="265" spans="2:5" x14ac:dyDescent="0.25">
      <c r="B265" s="47"/>
      <c r="C265" s="48"/>
      <c r="D265" s="49"/>
      <c r="E265" s="50"/>
    </row>
    <row r="266" spans="2:5" x14ac:dyDescent="0.25">
      <c r="B266" s="47"/>
      <c r="C266" s="48"/>
      <c r="D266" s="49"/>
      <c r="E266" s="50"/>
    </row>
    <row r="267" spans="2:5" x14ac:dyDescent="0.25">
      <c r="B267" s="47"/>
      <c r="C267" s="48"/>
      <c r="D267" s="49"/>
      <c r="E267" s="50"/>
    </row>
    <row r="268" spans="2:5" x14ac:dyDescent="0.25">
      <c r="B268" s="47"/>
      <c r="C268" s="48"/>
      <c r="D268" s="49"/>
      <c r="E268" s="50"/>
    </row>
    <row r="269" spans="2:5" x14ac:dyDescent="0.25">
      <c r="B269" s="47"/>
      <c r="C269" s="48"/>
      <c r="D269" s="49"/>
      <c r="E269" s="50"/>
    </row>
    <row r="270" spans="2:5" x14ac:dyDescent="0.25">
      <c r="B270" s="47"/>
      <c r="C270" s="48"/>
      <c r="D270" s="49"/>
      <c r="E270" s="50"/>
    </row>
    <row r="271" spans="2:5" x14ac:dyDescent="0.25">
      <c r="B271" s="47"/>
      <c r="C271" s="48"/>
      <c r="D271" s="49"/>
      <c r="E271" s="50"/>
    </row>
    <row r="272" spans="2:5" x14ac:dyDescent="0.25">
      <c r="B272" s="47"/>
      <c r="C272" s="48"/>
      <c r="D272" s="49"/>
      <c r="E272" s="50"/>
    </row>
    <row r="273" spans="2:5" x14ac:dyDescent="0.25">
      <c r="B273" s="47"/>
      <c r="C273" s="48"/>
      <c r="D273" s="49"/>
      <c r="E273" s="50"/>
    </row>
    <row r="274" spans="2:5" x14ac:dyDescent="0.25">
      <c r="B274" s="47"/>
      <c r="C274" s="48"/>
      <c r="D274" s="49"/>
      <c r="E274" s="50"/>
    </row>
    <row r="275" spans="2:5" x14ac:dyDescent="0.25">
      <c r="B275" s="47"/>
      <c r="C275" s="48"/>
      <c r="D275" s="49"/>
      <c r="E275" s="50"/>
    </row>
    <row r="276" spans="2:5" x14ac:dyDescent="0.25">
      <c r="B276" s="47"/>
      <c r="C276" s="48"/>
      <c r="D276" s="49"/>
      <c r="E276" s="50"/>
    </row>
    <row r="277" spans="2:5" x14ac:dyDescent="0.25">
      <c r="B277" s="47"/>
      <c r="C277" s="48"/>
      <c r="D277" s="49"/>
      <c r="E277" s="50"/>
    </row>
    <row r="278" spans="2:5" x14ac:dyDescent="0.25">
      <c r="B278" s="47"/>
      <c r="C278" s="48"/>
      <c r="D278" s="49"/>
      <c r="E278" s="50"/>
    </row>
    <row r="279" spans="2:5" x14ac:dyDescent="0.25">
      <c r="B279" s="47"/>
      <c r="C279" s="48"/>
      <c r="D279" s="49"/>
      <c r="E279" s="50"/>
    </row>
    <row r="280" spans="2:5" x14ac:dyDescent="0.25">
      <c r="B280" s="47"/>
      <c r="C280" s="48"/>
      <c r="D280" s="49"/>
      <c r="E280" s="50"/>
    </row>
    <row r="281" spans="2:5" x14ac:dyDescent="0.25">
      <c r="B281" s="47"/>
      <c r="C281" s="48"/>
      <c r="D281" s="49"/>
      <c r="E281" s="50"/>
    </row>
    <row r="282" spans="2:5" x14ac:dyDescent="0.25">
      <c r="B282" s="47"/>
      <c r="C282" s="48"/>
      <c r="D282" s="49"/>
      <c r="E282" s="50"/>
    </row>
    <row r="283" spans="2:5" x14ac:dyDescent="0.25">
      <c r="B283" s="47"/>
      <c r="C283" s="48"/>
      <c r="D283" s="49"/>
      <c r="E283" s="50"/>
    </row>
    <row r="284" spans="2:5" x14ac:dyDescent="0.25">
      <c r="B284" s="47"/>
      <c r="C284" s="48"/>
      <c r="D284" s="49"/>
      <c r="E284" s="50"/>
    </row>
    <row r="285" spans="2:5" x14ac:dyDescent="0.25">
      <c r="B285" s="47"/>
      <c r="C285" s="48"/>
      <c r="D285" s="49"/>
      <c r="E285" s="50"/>
    </row>
    <row r="286" spans="2:5" x14ac:dyDescent="0.25">
      <c r="B286" s="47"/>
      <c r="C286" s="48"/>
      <c r="D286" s="49"/>
      <c r="E286" s="50"/>
    </row>
    <row r="287" spans="2:5" x14ac:dyDescent="0.25">
      <c r="B287" s="47"/>
      <c r="C287" s="48"/>
      <c r="D287" s="49"/>
      <c r="E287" s="50"/>
    </row>
    <row r="288" spans="2:5" x14ac:dyDescent="0.25">
      <c r="B288" s="47"/>
      <c r="C288" s="48"/>
      <c r="D288" s="49"/>
      <c r="E288" s="50"/>
    </row>
    <row r="289" spans="2:5" x14ac:dyDescent="0.25">
      <c r="B289" s="47"/>
      <c r="C289" s="48"/>
      <c r="D289" s="49"/>
      <c r="E289" s="50"/>
    </row>
    <row r="290" spans="2:5" x14ac:dyDescent="0.25">
      <c r="B290" s="47"/>
      <c r="C290" s="48"/>
      <c r="D290" s="49"/>
      <c r="E290" s="50"/>
    </row>
    <row r="291" spans="2:5" x14ac:dyDescent="0.25">
      <c r="B291" s="47"/>
      <c r="C291" s="48"/>
      <c r="D291" s="49"/>
      <c r="E291" s="50"/>
    </row>
    <row r="292" spans="2:5" x14ac:dyDescent="0.25">
      <c r="B292" s="47"/>
      <c r="C292" s="48"/>
      <c r="D292" s="49"/>
      <c r="E292" s="50"/>
    </row>
    <row r="293" spans="2:5" x14ac:dyDescent="0.25">
      <c r="B293" s="47"/>
      <c r="C293" s="48"/>
      <c r="D293" s="49"/>
      <c r="E293" s="50"/>
    </row>
    <row r="294" spans="2:5" x14ac:dyDescent="0.25">
      <c r="B294" s="47"/>
      <c r="C294" s="48"/>
      <c r="D294" s="49"/>
      <c r="E294" s="50"/>
    </row>
    <row r="295" spans="2:5" x14ac:dyDescent="0.25">
      <c r="B295" s="47"/>
      <c r="C295" s="48"/>
      <c r="D295" s="49"/>
      <c r="E295" s="50"/>
    </row>
    <row r="296" spans="2:5" x14ac:dyDescent="0.25">
      <c r="B296" s="47"/>
      <c r="C296" s="48"/>
      <c r="D296" s="49"/>
      <c r="E296" s="50"/>
    </row>
    <row r="297" spans="2:5" x14ac:dyDescent="0.25">
      <c r="B297" s="47"/>
      <c r="C297" s="48"/>
      <c r="D297" s="49"/>
      <c r="E297" s="50"/>
    </row>
    <row r="298" spans="2:5" x14ac:dyDescent="0.25">
      <c r="B298" s="47"/>
      <c r="C298" s="48"/>
      <c r="D298" s="49"/>
      <c r="E298" s="50"/>
    </row>
    <row r="299" spans="2:5" x14ac:dyDescent="0.25">
      <c r="B299" s="47"/>
      <c r="C299" s="48"/>
      <c r="D299" s="49"/>
      <c r="E299" s="50"/>
    </row>
    <row r="300" spans="2:5" x14ac:dyDescent="0.25">
      <c r="B300" s="47"/>
      <c r="C300" s="48"/>
      <c r="D300" s="49"/>
      <c r="E300" s="50"/>
    </row>
    <row r="301" spans="2:5" x14ac:dyDescent="0.25">
      <c r="B301" s="47"/>
      <c r="C301" s="48"/>
      <c r="D301" s="49"/>
      <c r="E301" s="50"/>
    </row>
    <row r="302" spans="2:5" x14ac:dyDescent="0.25">
      <c r="B302" s="47"/>
      <c r="C302" s="48"/>
      <c r="D302" s="51"/>
      <c r="E302" s="50"/>
    </row>
  </sheetData>
  <dataValidations count="1">
    <dataValidation type="list" allowBlank="1" showInputMessage="1" showErrorMessage="1" sqref="E3:E301">
      <formula1>"YES,NO,?"</formula1>
    </dataValidation>
  </dataValidations>
  <hyperlinks>
    <hyperlink ref="C7" r:id="rId1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762"/>
  <sheetViews>
    <sheetView zoomScale="85" zoomScaleNormal="85" workbookViewId="0">
      <pane ySplit="1" topLeftCell="A2" activePane="bottomLeft" state="frozen"/>
      <selection pane="bottomLeft" activeCell="G525" sqref="G525"/>
    </sheetView>
  </sheetViews>
  <sheetFormatPr baseColWidth="10" defaultColWidth="11.5703125" defaultRowHeight="12.75" x14ac:dyDescent="0.25"/>
  <cols>
    <col min="1" max="1" width="17.7109375" style="29" customWidth="1"/>
    <col min="2" max="2" width="48.7109375" style="29" customWidth="1"/>
    <col min="3" max="3" width="9.140625" style="29" bestFit="1" customWidth="1"/>
    <col min="4" max="4" width="21.28515625" style="29" customWidth="1"/>
    <col min="5" max="5" width="12.140625" style="31" customWidth="1"/>
    <col min="6" max="6" width="18.7109375" style="24" bestFit="1" customWidth="1"/>
    <col min="7" max="7" width="72" style="29" customWidth="1"/>
    <col min="8" max="8" width="10.140625" style="24" customWidth="1"/>
    <col min="9" max="9" width="12.5703125" style="24" customWidth="1"/>
    <col min="10" max="10" width="16.28515625" style="24" bestFit="1" customWidth="1"/>
    <col min="11" max="11" width="19.28515625" style="24" bestFit="1" customWidth="1"/>
    <col min="12" max="12" width="17.7109375" style="24" bestFit="1" customWidth="1"/>
    <col min="13" max="16384" width="11.5703125" style="29"/>
  </cols>
  <sheetData>
    <row r="1" spans="1:12" s="27" customFormat="1" ht="43.9" customHeight="1" x14ac:dyDescent="0.25">
      <c r="A1" s="27" t="s">
        <v>2045</v>
      </c>
      <c r="B1" s="27" t="s">
        <v>2046</v>
      </c>
      <c r="C1" s="27" t="s">
        <v>2047</v>
      </c>
      <c r="D1" s="27" t="s">
        <v>2048</v>
      </c>
      <c r="E1" s="30" t="s">
        <v>2049</v>
      </c>
      <c r="F1" s="27" t="s">
        <v>538</v>
      </c>
      <c r="G1" s="27" t="s">
        <v>2050</v>
      </c>
      <c r="H1" s="27" t="s">
        <v>2051</v>
      </c>
      <c r="I1" s="27" t="s">
        <v>2052</v>
      </c>
      <c r="J1" s="27" t="s">
        <v>2053</v>
      </c>
      <c r="K1" s="27" t="s">
        <v>2054</v>
      </c>
      <c r="L1" s="27" t="s">
        <v>2055</v>
      </c>
    </row>
    <row r="2" spans="1:12" s="28" customFormat="1" ht="25.15" customHeight="1" x14ac:dyDescent="0.25">
      <c r="A2" s="28" t="s">
        <v>574</v>
      </c>
      <c r="B2" s="28" t="s">
        <v>2056</v>
      </c>
      <c r="C2" s="28" t="s">
        <v>1513</v>
      </c>
      <c r="D2" s="28" t="s">
        <v>2057</v>
      </c>
      <c r="E2" s="27" t="s">
        <v>2058</v>
      </c>
      <c r="F2" s="27" t="s">
        <v>2059</v>
      </c>
      <c r="G2" s="28" t="s">
        <v>2060</v>
      </c>
      <c r="H2" s="27" t="s">
        <v>2061</v>
      </c>
      <c r="I2" s="27" t="s">
        <v>2062</v>
      </c>
      <c r="J2" s="27" t="s">
        <v>2063</v>
      </c>
      <c r="K2" s="27" t="s">
        <v>2062</v>
      </c>
      <c r="L2" s="27" t="s">
        <v>2064</v>
      </c>
    </row>
    <row r="3" spans="1:12" ht="25.15" customHeight="1" x14ac:dyDescent="0.25">
      <c r="A3" s="29" t="s">
        <v>219</v>
      </c>
      <c r="B3" s="29" t="s">
        <v>1232</v>
      </c>
      <c r="C3" s="29" t="s">
        <v>1233</v>
      </c>
      <c r="D3" s="29" t="s">
        <v>2122</v>
      </c>
      <c r="E3" s="24" t="s">
        <v>1214</v>
      </c>
      <c r="F3" s="24" t="s">
        <v>1209</v>
      </c>
      <c r="G3" s="29" t="s">
        <v>539</v>
      </c>
      <c r="H3" s="24">
        <v>0</v>
      </c>
      <c r="I3" s="24">
        <v>0</v>
      </c>
      <c r="J3" s="24" t="s">
        <v>539</v>
      </c>
      <c r="K3" s="24">
        <v>0</v>
      </c>
      <c r="L3" s="24" t="s">
        <v>539</v>
      </c>
    </row>
    <row r="4" spans="1:12" ht="25.15" customHeight="1" x14ac:dyDescent="0.25">
      <c r="A4" s="29" t="s">
        <v>221</v>
      </c>
      <c r="B4" s="29" t="s">
        <v>1276</v>
      </c>
      <c r="C4" s="29" t="s">
        <v>1277</v>
      </c>
      <c r="E4" s="24" t="s">
        <v>2134</v>
      </c>
      <c r="F4" s="24" t="s">
        <v>1209</v>
      </c>
      <c r="G4" s="29" t="s">
        <v>539</v>
      </c>
      <c r="H4" s="24">
        <v>0</v>
      </c>
      <c r="I4" s="24" t="s">
        <v>2168</v>
      </c>
      <c r="J4" s="24" t="s">
        <v>539</v>
      </c>
      <c r="K4" s="24">
        <v>0</v>
      </c>
      <c r="L4" s="24" t="s">
        <v>539</v>
      </c>
    </row>
    <row r="5" spans="1:12" ht="25.15" customHeight="1" x14ac:dyDescent="0.25">
      <c r="A5" s="29" t="s">
        <v>127</v>
      </c>
      <c r="B5" s="29" t="s">
        <v>1307</v>
      </c>
      <c r="C5" s="29" t="s">
        <v>1308</v>
      </c>
      <c r="D5" s="29" t="s">
        <v>1186</v>
      </c>
      <c r="E5" s="24" t="s">
        <v>2704</v>
      </c>
      <c r="F5" s="24" t="s">
        <v>1207</v>
      </c>
      <c r="G5" s="29" t="s">
        <v>539</v>
      </c>
      <c r="H5" s="24">
        <v>0</v>
      </c>
      <c r="I5" s="24" t="s">
        <v>2169</v>
      </c>
      <c r="J5" s="24" t="s">
        <v>539</v>
      </c>
      <c r="K5" s="24">
        <v>0</v>
      </c>
      <c r="L5" s="24" t="s">
        <v>2170</v>
      </c>
    </row>
    <row r="6" spans="1:12" ht="25.15" customHeight="1" x14ac:dyDescent="0.25">
      <c r="A6" s="29" t="s">
        <v>124</v>
      </c>
      <c r="B6" s="29" t="s">
        <v>1357</v>
      </c>
      <c r="C6" s="29">
        <v>0</v>
      </c>
      <c r="D6" s="29" t="s">
        <v>2123</v>
      </c>
      <c r="E6" s="24" t="s">
        <v>2134</v>
      </c>
      <c r="F6" s="24" t="s">
        <v>1209</v>
      </c>
      <c r="G6" s="29" t="s">
        <v>539</v>
      </c>
      <c r="H6" s="24">
        <v>0</v>
      </c>
      <c r="I6" s="24" t="s">
        <v>2168</v>
      </c>
      <c r="J6" s="24" t="s">
        <v>539</v>
      </c>
      <c r="K6" s="24">
        <v>0</v>
      </c>
      <c r="L6" s="24" t="s">
        <v>539</v>
      </c>
    </row>
    <row r="7" spans="1:12" ht="25.15" customHeight="1" x14ac:dyDescent="0.25">
      <c r="A7" s="29" t="s">
        <v>486</v>
      </c>
      <c r="B7" s="29" t="s">
        <v>1405</v>
      </c>
      <c r="C7" s="29" t="s">
        <v>1406</v>
      </c>
      <c r="D7" s="29" t="s">
        <v>2124</v>
      </c>
      <c r="E7" s="24" t="s">
        <v>1407</v>
      </c>
      <c r="F7" s="24" t="s">
        <v>1209</v>
      </c>
      <c r="G7" s="29" t="s">
        <v>539</v>
      </c>
      <c r="H7" s="24">
        <v>0</v>
      </c>
      <c r="I7" s="24">
        <v>0</v>
      </c>
      <c r="J7" s="24" t="s">
        <v>2171</v>
      </c>
      <c r="K7" s="24" t="s">
        <v>2168</v>
      </c>
      <c r="L7" s="24" t="s">
        <v>539</v>
      </c>
    </row>
    <row r="8" spans="1:12" ht="25.15" customHeight="1" x14ac:dyDescent="0.25">
      <c r="A8" s="29" t="s">
        <v>489</v>
      </c>
      <c r="B8" s="29" t="s">
        <v>1409</v>
      </c>
      <c r="C8" s="29" t="s">
        <v>1406</v>
      </c>
      <c r="D8" s="29" t="s">
        <v>2124</v>
      </c>
      <c r="E8" s="24" t="s">
        <v>1407</v>
      </c>
      <c r="F8" s="24" t="s">
        <v>1209</v>
      </c>
      <c r="G8" s="29" t="s">
        <v>539</v>
      </c>
      <c r="H8" s="24">
        <v>0</v>
      </c>
      <c r="I8" s="24">
        <v>0</v>
      </c>
      <c r="J8" s="24" t="s">
        <v>2171</v>
      </c>
      <c r="K8" s="24" t="s">
        <v>2168</v>
      </c>
      <c r="L8" s="24" t="s">
        <v>539</v>
      </c>
    </row>
    <row r="9" spans="1:12" ht="25.15" customHeight="1" x14ac:dyDescent="0.25">
      <c r="A9" s="29" t="s">
        <v>488</v>
      </c>
      <c r="B9" s="29" t="s">
        <v>1412</v>
      </c>
      <c r="C9" s="29" t="s">
        <v>1413</v>
      </c>
      <c r="D9" s="29" t="s">
        <v>2122</v>
      </c>
      <c r="E9" s="24" t="s">
        <v>2135</v>
      </c>
      <c r="F9" s="24" t="s">
        <v>1209</v>
      </c>
      <c r="G9" s="29" t="s">
        <v>539</v>
      </c>
      <c r="H9" s="24">
        <v>0</v>
      </c>
      <c r="I9" s="24" t="s">
        <v>2168</v>
      </c>
      <c r="J9" s="24" t="s">
        <v>539</v>
      </c>
      <c r="K9" s="24">
        <v>0</v>
      </c>
      <c r="L9" s="24" t="s">
        <v>539</v>
      </c>
    </row>
    <row r="10" spans="1:12" ht="25.15" customHeight="1" x14ac:dyDescent="0.25">
      <c r="A10" s="29" t="s">
        <v>485</v>
      </c>
      <c r="B10" s="29" t="s">
        <v>1415</v>
      </c>
      <c r="C10" s="29" t="s">
        <v>1416</v>
      </c>
      <c r="D10" s="29" t="s">
        <v>2057</v>
      </c>
      <c r="E10" s="24" t="s">
        <v>1407</v>
      </c>
      <c r="F10" s="24" t="s">
        <v>1209</v>
      </c>
      <c r="G10" s="29" t="s">
        <v>539</v>
      </c>
      <c r="H10" s="24">
        <v>0</v>
      </c>
      <c r="I10" s="24">
        <v>0</v>
      </c>
      <c r="J10" s="24" t="s">
        <v>2171</v>
      </c>
      <c r="K10" s="24" t="s">
        <v>2168</v>
      </c>
      <c r="L10" s="24" t="s">
        <v>539</v>
      </c>
    </row>
    <row r="11" spans="1:12" ht="25.15" customHeight="1" x14ac:dyDescent="0.25">
      <c r="A11" s="29" t="s">
        <v>566</v>
      </c>
      <c r="B11" s="29" t="s">
        <v>1510</v>
      </c>
      <c r="C11" s="29" t="s">
        <v>1511</v>
      </c>
      <c r="D11" s="29" t="s">
        <v>2124</v>
      </c>
      <c r="E11" s="24" t="s">
        <v>2136</v>
      </c>
      <c r="F11" s="24" t="s">
        <v>2059</v>
      </c>
      <c r="G11" s="29" t="s">
        <v>539</v>
      </c>
      <c r="H11" s="24">
        <v>0</v>
      </c>
      <c r="I11" s="24">
        <v>0</v>
      </c>
      <c r="J11" s="24" t="s">
        <v>539</v>
      </c>
      <c r="K11" s="24">
        <v>0</v>
      </c>
      <c r="L11" s="24" t="s">
        <v>539</v>
      </c>
    </row>
    <row r="12" spans="1:12" ht="25.15" customHeight="1" x14ac:dyDescent="0.25">
      <c r="A12" s="29" t="s">
        <v>440</v>
      </c>
      <c r="B12" s="29" t="s">
        <v>2097</v>
      </c>
      <c r="C12" s="29" t="s">
        <v>1541</v>
      </c>
      <c r="D12" s="29" t="s">
        <v>2057</v>
      </c>
      <c r="E12" s="24" t="s">
        <v>2137</v>
      </c>
      <c r="F12" s="24" t="s">
        <v>1209</v>
      </c>
      <c r="G12" s="29" t="s">
        <v>539</v>
      </c>
      <c r="H12" s="24">
        <v>0</v>
      </c>
      <c r="I12" s="24">
        <v>0</v>
      </c>
      <c r="J12" s="24" t="s">
        <v>539</v>
      </c>
      <c r="K12" s="24">
        <v>0</v>
      </c>
      <c r="L12" s="24" t="s">
        <v>539</v>
      </c>
    </row>
    <row r="13" spans="1:12" ht="25.15" customHeight="1" x14ac:dyDescent="0.25">
      <c r="A13" s="29" t="s">
        <v>272</v>
      </c>
      <c r="B13" s="29" t="s">
        <v>1582</v>
      </c>
      <c r="C13" s="29" t="s">
        <v>1583</v>
      </c>
      <c r="D13" s="29" t="s">
        <v>2125</v>
      </c>
      <c r="E13" s="24" t="s">
        <v>1518</v>
      </c>
      <c r="F13" s="24" t="s">
        <v>2059</v>
      </c>
      <c r="G13" s="29" t="s">
        <v>539</v>
      </c>
      <c r="H13" s="24">
        <v>0</v>
      </c>
      <c r="I13" s="24" t="s">
        <v>2172</v>
      </c>
      <c r="J13" s="24" t="s">
        <v>539</v>
      </c>
      <c r="K13" s="24">
        <v>0</v>
      </c>
      <c r="L13" s="24" t="s">
        <v>2173</v>
      </c>
    </row>
    <row r="14" spans="1:12" ht="25.15" customHeight="1" x14ac:dyDescent="0.25">
      <c r="A14" s="29" t="s">
        <v>460</v>
      </c>
      <c r="B14" s="29" t="s">
        <v>1587</v>
      </c>
      <c r="C14" s="29" t="s">
        <v>1490</v>
      </c>
      <c r="E14" s="24" t="s">
        <v>1214</v>
      </c>
      <c r="F14" s="24" t="s">
        <v>1209</v>
      </c>
      <c r="G14" s="29" t="s">
        <v>539</v>
      </c>
      <c r="H14" s="24">
        <v>0</v>
      </c>
      <c r="I14" s="24">
        <v>0</v>
      </c>
      <c r="J14" s="24" t="s">
        <v>539</v>
      </c>
      <c r="K14" s="24">
        <v>0</v>
      </c>
      <c r="L14" s="24" t="s">
        <v>539</v>
      </c>
    </row>
    <row r="15" spans="1:12" ht="25.15" customHeight="1" x14ac:dyDescent="0.25">
      <c r="A15" s="29" t="s">
        <v>297</v>
      </c>
      <c r="B15" s="29" t="s">
        <v>1772</v>
      </c>
      <c r="C15" s="29" t="s">
        <v>1773</v>
      </c>
      <c r="D15" s="29" t="s">
        <v>2122</v>
      </c>
      <c r="E15" s="24" t="s">
        <v>2134</v>
      </c>
      <c r="F15" s="24" t="s">
        <v>2059</v>
      </c>
      <c r="G15" s="29" t="s">
        <v>539</v>
      </c>
      <c r="H15" s="24">
        <v>0</v>
      </c>
      <c r="I15" s="24">
        <v>0</v>
      </c>
      <c r="J15" s="24" t="s">
        <v>539</v>
      </c>
      <c r="K15" s="24">
        <v>0</v>
      </c>
      <c r="L15" s="24" t="s">
        <v>539</v>
      </c>
    </row>
    <row r="16" spans="1:12" ht="25.15" customHeight="1" x14ac:dyDescent="0.25">
      <c r="A16" s="29" t="s">
        <v>204</v>
      </c>
      <c r="B16" s="29" t="s">
        <v>1800</v>
      </c>
      <c r="C16" s="29" t="s">
        <v>1319</v>
      </c>
      <c r="D16" s="29" t="s">
        <v>2123</v>
      </c>
      <c r="E16" s="24" t="s">
        <v>2134</v>
      </c>
      <c r="F16" s="24" t="s">
        <v>1209</v>
      </c>
      <c r="G16" s="29" t="s">
        <v>539</v>
      </c>
      <c r="H16" s="24">
        <v>0</v>
      </c>
      <c r="I16" s="24">
        <v>0</v>
      </c>
      <c r="J16" s="24" t="s">
        <v>539</v>
      </c>
      <c r="K16" s="24">
        <v>0</v>
      </c>
      <c r="L16" s="24" t="s">
        <v>539</v>
      </c>
    </row>
    <row r="17" spans="1:12" ht="25.15" customHeight="1" x14ac:dyDescent="0.25">
      <c r="A17" s="29" t="s">
        <v>86</v>
      </c>
      <c r="B17" s="29" t="s">
        <v>1212</v>
      </c>
      <c r="C17" s="29" t="s">
        <v>1213</v>
      </c>
      <c r="D17" s="29" t="s">
        <v>2126</v>
      </c>
      <c r="E17" s="24" t="s">
        <v>2138</v>
      </c>
      <c r="F17" s="24" t="s">
        <v>1209</v>
      </c>
      <c r="G17" s="29" t="s">
        <v>539</v>
      </c>
      <c r="H17" s="24">
        <v>0</v>
      </c>
      <c r="I17" s="24">
        <v>0</v>
      </c>
      <c r="J17" s="24" t="s">
        <v>539</v>
      </c>
      <c r="K17" s="24">
        <v>0</v>
      </c>
      <c r="L17" s="24" t="s">
        <v>539</v>
      </c>
    </row>
    <row r="18" spans="1:12" ht="25.15" customHeight="1" x14ac:dyDescent="0.25">
      <c r="A18" s="29" t="s">
        <v>87</v>
      </c>
      <c r="B18" s="29" t="s">
        <v>1831</v>
      </c>
      <c r="C18" s="29" t="s">
        <v>1233</v>
      </c>
      <c r="D18" s="29" t="s">
        <v>2122</v>
      </c>
      <c r="E18" s="24" t="s">
        <v>1832</v>
      </c>
      <c r="F18" s="24" t="s">
        <v>1209</v>
      </c>
      <c r="G18" s="29" t="s">
        <v>539</v>
      </c>
      <c r="H18" s="24">
        <v>0</v>
      </c>
      <c r="I18" s="24">
        <v>0</v>
      </c>
      <c r="J18" s="24" t="s">
        <v>539</v>
      </c>
      <c r="K18" s="24">
        <v>0</v>
      </c>
      <c r="L18" s="24" t="s">
        <v>539</v>
      </c>
    </row>
    <row r="19" spans="1:12" ht="25.15" customHeight="1" x14ac:dyDescent="0.25">
      <c r="A19" s="29" t="s">
        <v>310</v>
      </c>
      <c r="B19" s="29" t="s">
        <v>2098</v>
      </c>
      <c r="C19" s="29" t="s">
        <v>1509</v>
      </c>
      <c r="D19" s="29" t="s">
        <v>2126</v>
      </c>
      <c r="E19" s="24" t="s">
        <v>2137</v>
      </c>
      <c r="F19" s="24" t="s">
        <v>1209</v>
      </c>
      <c r="G19" s="29" t="s">
        <v>539</v>
      </c>
      <c r="H19" s="24">
        <v>0</v>
      </c>
      <c r="I19" s="24">
        <v>0</v>
      </c>
      <c r="J19" s="24" t="s">
        <v>539</v>
      </c>
      <c r="K19" s="24">
        <v>0</v>
      </c>
      <c r="L19" s="24" t="s">
        <v>539</v>
      </c>
    </row>
    <row r="20" spans="1:12" ht="25.15" customHeight="1" x14ac:dyDescent="0.25">
      <c r="A20" s="29" t="s">
        <v>328</v>
      </c>
      <c r="B20" s="29" t="s">
        <v>2099</v>
      </c>
      <c r="C20" s="29" t="s">
        <v>1494</v>
      </c>
      <c r="D20" s="29" t="s">
        <v>2126</v>
      </c>
      <c r="E20" s="24" t="s">
        <v>2139</v>
      </c>
      <c r="F20" s="24" t="s">
        <v>1209</v>
      </c>
      <c r="G20" s="29" t="s">
        <v>539</v>
      </c>
      <c r="H20" s="24">
        <v>0</v>
      </c>
      <c r="I20" s="24" t="s">
        <v>2172</v>
      </c>
      <c r="J20" s="24" t="s">
        <v>539</v>
      </c>
      <c r="K20" s="24">
        <v>0</v>
      </c>
      <c r="L20" s="24" t="s">
        <v>2174</v>
      </c>
    </row>
    <row r="21" spans="1:12" ht="25.15" customHeight="1" x14ac:dyDescent="0.25">
      <c r="A21" s="29" t="s">
        <v>588</v>
      </c>
      <c r="B21" s="29" t="s">
        <v>2100</v>
      </c>
      <c r="C21" s="29" t="s">
        <v>1799</v>
      </c>
      <c r="D21" s="29" t="s">
        <v>2122</v>
      </c>
      <c r="E21" s="24" t="s">
        <v>2140</v>
      </c>
      <c r="F21" s="24" t="s">
        <v>1209</v>
      </c>
      <c r="G21" s="29" t="s">
        <v>539</v>
      </c>
      <c r="H21" s="24">
        <v>0</v>
      </c>
      <c r="I21" s="24">
        <v>0</v>
      </c>
      <c r="J21" s="24" t="s">
        <v>539</v>
      </c>
      <c r="K21" s="24">
        <v>0</v>
      </c>
      <c r="L21" s="24" t="s">
        <v>539</v>
      </c>
    </row>
    <row r="22" spans="1:12" ht="25.15" customHeight="1" x14ac:dyDescent="0.25">
      <c r="A22" s="29" t="s">
        <v>591</v>
      </c>
      <c r="B22" s="29" t="s">
        <v>1940</v>
      </c>
      <c r="C22" s="29" t="s">
        <v>1792</v>
      </c>
      <c r="D22" s="29" t="s">
        <v>2123</v>
      </c>
      <c r="E22" s="31">
        <v>45229</v>
      </c>
      <c r="F22" s="24" t="s">
        <v>1207</v>
      </c>
      <c r="G22" s="29" t="s">
        <v>539</v>
      </c>
      <c r="H22" s="24">
        <v>0</v>
      </c>
      <c r="I22" s="24">
        <v>0</v>
      </c>
      <c r="J22" s="24" t="s">
        <v>539</v>
      </c>
      <c r="K22" s="24">
        <v>0</v>
      </c>
      <c r="L22" s="24" t="s">
        <v>539</v>
      </c>
    </row>
    <row r="23" spans="1:12" ht="25.15" customHeight="1" x14ac:dyDescent="0.25">
      <c r="A23" s="29" t="s">
        <v>597</v>
      </c>
      <c r="B23" s="29" t="s">
        <v>1942</v>
      </c>
      <c r="C23" s="29" t="s">
        <v>1319</v>
      </c>
      <c r="D23" s="29" t="s">
        <v>2123</v>
      </c>
      <c r="E23" s="31">
        <v>45225</v>
      </c>
      <c r="F23" s="24" t="s">
        <v>1209</v>
      </c>
      <c r="G23" s="29" t="s">
        <v>539</v>
      </c>
      <c r="H23" s="24">
        <v>0</v>
      </c>
      <c r="I23" s="24">
        <v>0</v>
      </c>
      <c r="J23" s="24" t="s">
        <v>539</v>
      </c>
      <c r="K23" s="24">
        <v>0</v>
      </c>
      <c r="L23" s="24" t="s">
        <v>539</v>
      </c>
    </row>
    <row r="24" spans="1:12" ht="25.15" customHeight="1" x14ac:dyDescent="0.25">
      <c r="A24" s="29" t="s">
        <v>600</v>
      </c>
      <c r="B24" s="29" t="s">
        <v>2101</v>
      </c>
      <c r="C24" s="29" t="s">
        <v>1842</v>
      </c>
      <c r="D24" s="29" t="s">
        <v>2123</v>
      </c>
      <c r="E24" s="24" t="s">
        <v>2141</v>
      </c>
      <c r="F24" s="24" t="s">
        <v>1209</v>
      </c>
      <c r="G24" s="29" t="s">
        <v>539</v>
      </c>
      <c r="H24" s="24">
        <v>0</v>
      </c>
      <c r="I24" s="24">
        <v>0</v>
      </c>
      <c r="J24" s="24" t="s">
        <v>539</v>
      </c>
      <c r="K24" s="24">
        <v>0</v>
      </c>
      <c r="L24" s="24" t="s">
        <v>539</v>
      </c>
    </row>
    <row r="25" spans="1:12" ht="25.15" customHeight="1" x14ac:dyDescent="0.25">
      <c r="A25" s="29" t="s">
        <v>606</v>
      </c>
      <c r="B25" s="29" t="s">
        <v>2102</v>
      </c>
      <c r="C25" s="29" t="s">
        <v>1411</v>
      </c>
      <c r="D25" s="29" t="s">
        <v>2126</v>
      </c>
      <c r="E25" s="24" t="s">
        <v>2142</v>
      </c>
      <c r="F25" s="24" t="s">
        <v>1209</v>
      </c>
      <c r="G25" s="29" t="s">
        <v>539</v>
      </c>
      <c r="H25" s="24">
        <v>0</v>
      </c>
      <c r="I25" s="24">
        <v>0</v>
      </c>
      <c r="J25" s="24" t="s">
        <v>539</v>
      </c>
      <c r="K25" s="24">
        <v>0</v>
      </c>
      <c r="L25" s="24" t="s">
        <v>539</v>
      </c>
    </row>
    <row r="26" spans="1:12" ht="25.15" customHeight="1" x14ac:dyDescent="0.25">
      <c r="A26" s="29" t="s">
        <v>609</v>
      </c>
      <c r="B26" s="29" t="s">
        <v>2103</v>
      </c>
      <c r="C26" s="29" t="s">
        <v>1425</v>
      </c>
      <c r="D26" s="29" t="s">
        <v>2057</v>
      </c>
      <c r="E26" s="31">
        <v>45230</v>
      </c>
      <c r="F26" s="24" t="s">
        <v>1207</v>
      </c>
      <c r="G26" s="29" t="s">
        <v>539</v>
      </c>
      <c r="H26" s="24">
        <v>0</v>
      </c>
      <c r="I26" s="24">
        <v>0</v>
      </c>
      <c r="J26" s="24" t="s">
        <v>539</v>
      </c>
      <c r="K26" s="24">
        <v>0</v>
      </c>
      <c r="L26" s="24" t="s">
        <v>539</v>
      </c>
    </row>
    <row r="27" spans="1:12" ht="25.15" customHeight="1" x14ac:dyDescent="0.25">
      <c r="A27" s="29" t="s">
        <v>615</v>
      </c>
      <c r="B27" s="29" t="s">
        <v>1949</v>
      </c>
      <c r="C27" s="29" t="s">
        <v>1887</v>
      </c>
      <c r="D27" s="29" t="s">
        <v>2127</v>
      </c>
      <c r="E27" s="31">
        <v>45215</v>
      </c>
      <c r="F27" s="24" t="s">
        <v>1487</v>
      </c>
      <c r="G27" s="29" t="s">
        <v>539</v>
      </c>
      <c r="H27" s="24">
        <v>0</v>
      </c>
      <c r="I27" s="24">
        <v>0</v>
      </c>
      <c r="J27" s="24" t="s">
        <v>539</v>
      </c>
      <c r="K27" s="24">
        <v>0</v>
      </c>
      <c r="L27" s="24" t="s">
        <v>539</v>
      </c>
    </row>
    <row r="28" spans="1:12" ht="25.15" customHeight="1" x14ac:dyDescent="0.25">
      <c r="A28" s="29" t="s">
        <v>617</v>
      </c>
      <c r="B28" s="29" t="s">
        <v>1951</v>
      </c>
      <c r="C28" s="29" t="s">
        <v>1403</v>
      </c>
      <c r="D28" s="29" t="s">
        <v>2057</v>
      </c>
      <c r="E28" s="24" t="s">
        <v>1407</v>
      </c>
      <c r="F28" s="24" t="s">
        <v>1209</v>
      </c>
      <c r="G28" s="29" t="s">
        <v>539</v>
      </c>
      <c r="H28" s="24">
        <v>0</v>
      </c>
      <c r="I28" s="24">
        <v>0</v>
      </c>
      <c r="J28" s="24" t="s">
        <v>539</v>
      </c>
      <c r="K28" s="24">
        <v>0</v>
      </c>
      <c r="L28" s="24" t="s">
        <v>539</v>
      </c>
    </row>
    <row r="29" spans="1:12" ht="25.15" customHeight="1" x14ac:dyDescent="0.25">
      <c r="A29" s="29" t="s">
        <v>620</v>
      </c>
      <c r="B29" s="29" t="s">
        <v>1952</v>
      </c>
      <c r="C29" s="29" t="s">
        <v>1570</v>
      </c>
      <c r="D29" s="29" t="s">
        <v>2126</v>
      </c>
      <c r="E29" s="31">
        <v>45237</v>
      </c>
      <c r="F29" s="24" t="s">
        <v>1207</v>
      </c>
      <c r="G29" s="29" t="s">
        <v>539</v>
      </c>
      <c r="H29" s="24">
        <v>0</v>
      </c>
      <c r="I29" s="24">
        <v>0</v>
      </c>
      <c r="J29" s="24" t="s">
        <v>539</v>
      </c>
      <c r="K29" s="24">
        <v>0</v>
      </c>
      <c r="L29" s="24" t="s">
        <v>539</v>
      </c>
    </row>
    <row r="30" spans="1:12" ht="25.15" customHeight="1" x14ac:dyDescent="0.25">
      <c r="A30" s="29" t="s">
        <v>1194</v>
      </c>
      <c r="B30" s="29" t="s">
        <v>1956</v>
      </c>
      <c r="C30" s="29" t="s">
        <v>1283</v>
      </c>
      <c r="D30" s="29" t="s">
        <v>2123</v>
      </c>
      <c r="E30" s="31">
        <v>45225</v>
      </c>
      <c r="F30" s="24" t="s">
        <v>1207</v>
      </c>
      <c r="G30" s="29" t="s">
        <v>539</v>
      </c>
      <c r="H30" s="24">
        <v>0</v>
      </c>
      <c r="I30" s="24">
        <v>0</v>
      </c>
      <c r="J30" s="24" t="s">
        <v>539</v>
      </c>
      <c r="K30" s="24">
        <v>0</v>
      </c>
      <c r="L30" s="24" t="s">
        <v>539</v>
      </c>
    </row>
    <row r="31" spans="1:12" ht="25.15" customHeight="1" x14ac:dyDescent="0.25">
      <c r="A31" s="29" t="s">
        <v>1969</v>
      </c>
      <c r="B31" s="29" t="s">
        <v>1971</v>
      </c>
      <c r="C31" s="29" t="s">
        <v>1358</v>
      </c>
      <c r="D31" s="29" t="s">
        <v>2125</v>
      </c>
      <c r="E31" s="24" t="s">
        <v>2143</v>
      </c>
      <c r="F31" s="24" t="s">
        <v>1209</v>
      </c>
      <c r="G31" s="29" t="s">
        <v>539</v>
      </c>
      <c r="H31" s="24">
        <v>0</v>
      </c>
      <c r="I31" s="24">
        <v>0</v>
      </c>
      <c r="J31" s="24" t="s">
        <v>539</v>
      </c>
      <c r="K31" s="24">
        <v>0</v>
      </c>
      <c r="L31" s="24" t="s">
        <v>539</v>
      </c>
    </row>
    <row r="32" spans="1:12" ht="25.15" customHeight="1" x14ac:dyDescent="0.25">
      <c r="A32" s="29" t="s">
        <v>1965</v>
      </c>
      <c r="B32" s="29" t="s">
        <v>1967</v>
      </c>
      <c r="C32" s="29" t="s">
        <v>1968</v>
      </c>
      <c r="D32" s="29" t="s">
        <v>2125</v>
      </c>
      <c r="E32" s="24" t="s">
        <v>2143</v>
      </c>
      <c r="F32" s="24" t="s">
        <v>1209</v>
      </c>
      <c r="G32" s="29" t="s">
        <v>539</v>
      </c>
      <c r="H32" s="24">
        <v>0</v>
      </c>
      <c r="I32" s="24">
        <v>0</v>
      </c>
      <c r="J32" s="24" t="s">
        <v>2171</v>
      </c>
      <c r="K32" s="24" t="s">
        <v>2168</v>
      </c>
      <c r="L32" s="24" t="s">
        <v>539</v>
      </c>
    </row>
    <row r="33" spans="1:12" ht="25.15" customHeight="1" x14ac:dyDescent="0.25">
      <c r="A33" s="29" t="s">
        <v>2088</v>
      </c>
      <c r="B33" s="29" t="s">
        <v>2104</v>
      </c>
      <c r="C33" s="29" t="s">
        <v>1211</v>
      </c>
      <c r="D33" s="29" t="s">
        <v>2128</v>
      </c>
      <c r="E33" s="24" t="s">
        <v>2144</v>
      </c>
      <c r="F33" s="24" t="s">
        <v>1209</v>
      </c>
      <c r="G33" s="29" t="s">
        <v>539</v>
      </c>
      <c r="H33" s="24">
        <v>0</v>
      </c>
      <c r="I33" s="24">
        <v>0</v>
      </c>
      <c r="J33" s="24" t="s">
        <v>539</v>
      </c>
      <c r="K33" s="24">
        <v>0</v>
      </c>
      <c r="L33" s="24" t="s">
        <v>539</v>
      </c>
    </row>
    <row r="34" spans="1:12" ht="25.15" customHeight="1" x14ac:dyDescent="0.25">
      <c r="A34" s="29" t="s">
        <v>2089</v>
      </c>
      <c r="B34" s="29" t="s">
        <v>2105</v>
      </c>
      <c r="C34" s="29" t="s">
        <v>1396</v>
      </c>
      <c r="D34" s="29" t="s">
        <v>2128</v>
      </c>
      <c r="E34" s="24" t="s">
        <v>2144</v>
      </c>
      <c r="F34" s="24" t="s">
        <v>1209</v>
      </c>
      <c r="G34" s="29" t="s">
        <v>539</v>
      </c>
      <c r="H34" s="24">
        <v>0</v>
      </c>
      <c r="I34" s="24">
        <v>0</v>
      </c>
      <c r="J34" s="24" t="s">
        <v>2175</v>
      </c>
      <c r="K34" s="24" t="s">
        <v>2176</v>
      </c>
      <c r="L34" s="24" t="s">
        <v>539</v>
      </c>
    </row>
    <row r="35" spans="1:12" ht="25.15" customHeight="1" x14ac:dyDescent="0.25">
      <c r="A35" s="29" t="s">
        <v>2090</v>
      </c>
      <c r="B35" s="29" t="s">
        <v>2106</v>
      </c>
      <c r="C35" s="29" t="s">
        <v>1396</v>
      </c>
      <c r="D35" s="29" t="s">
        <v>2128</v>
      </c>
      <c r="E35" s="24" t="s">
        <v>2144</v>
      </c>
      <c r="F35" s="24" t="s">
        <v>1487</v>
      </c>
      <c r="G35" s="29" t="s">
        <v>539</v>
      </c>
      <c r="H35" s="24">
        <v>0</v>
      </c>
      <c r="I35" s="24">
        <v>0</v>
      </c>
      <c r="J35" s="24" t="s">
        <v>2175</v>
      </c>
      <c r="K35" s="24" t="s">
        <v>2176</v>
      </c>
      <c r="L35" s="24" t="s">
        <v>539</v>
      </c>
    </row>
    <row r="36" spans="1:12" ht="25.15" customHeight="1" x14ac:dyDescent="0.25">
      <c r="A36" s="29" t="s">
        <v>2091</v>
      </c>
      <c r="B36" s="29" t="s">
        <v>2107</v>
      </c>
      <c r="C36" s="29" t="s">
        <v>1396</v>
      </c>
      <c r="E36" s="24" t="s">
        <v>2144</v>
      </c>
      <c r="F36" s="24" t="s">
        <v>1487</v>
      </c>
      <c r="G36" s="29" t="s">
        <v>539</v>
      </c>
      <c r="H36" s="24">
        <v>0</v>
      </c>
      <c r="I36" s="24" t="s">
        <v>2172</v>
      </c>
      <c r="J36" s="24" t="s">
        <v>539</v>
      </c>
      <c r="K36" s="24">
        <v>0</v>
      </c>
      <c r="L36" s="24" t="s">
        <v>2173</v>
      </c>
    </row>
    <row r="37" spans="1:12" ht="25.15" customHeight="1" x14ac:dyDescent="0.25">
      <c r="A37" s="29" t="s">
        <v>2092</v>
      </c>
      <c r="B37" s="29" t="s">
        <v>2108</v>
      </c>
      <c r="C37" s="29" t="s">
        <v>1396</v>
      </c>
      <c r="D37" s="29" t="s">
        <v>2128</v>
      </c>
      <c r="E37" s="24" t="s">
        <v>1518</v>
      </c>
      <c r="F37" s="24" t="s">
        <v>1487</v>
      </c>
      <c r="G37" s="29" t="s">
        <v>2177</v>
      </c>
      <c r="H37" s="24">
        <v>0</v>
      </c>
      <c r="I37" s="24">
        <v>0</v>
      </c>
      <c r="J37" s="24" t="s">
        <v>539</v>
      </c>
      <c r="K37" s="24">
        <v>0</v>
      </c>
      <c r="L37" s="24" t="s">
        <v>539</v>
      </c>
    </row>
    <row r="38" spans="1:12" ht="25.15" customHeight="1" x14ac:dyDescent="0.25">
      <c r="A38" s="29" t="s">
        <v>117</v>
      </c>
      <c r="B38" s="29" t="s">
        <v>1837</v>
      </c>
      <c r="C38" s="29" t="s">
        <v>1358</v>
      </c>
      <c r="D38" s="29" t="s">
        <v>2127</v>
      </c>
      <c r="E38" s="24" t="s">
        <v>2134</v>
      </c>
      <c r="F38" s="24" t="s">
        <v>2059</v>
      </c>
      <c r="G38" s="29" t="s">
        <v>2178</v>
      </c>
      <c r="H38" s="24">
        <v>1</v>
      </c>
      <c r="I38" s="24">
        <v>0</v>
      </c>
      <c r="J38" s="24" t="s">
        <v>539</v>
      </c>
      <c r="K38" s="24">
        <v>0</v>
      </c>
      <c r="L38" s="24" t="s">
        <v>2174</v>
      </c>
    </row>
    <row r="39" spans="1:12" ht="25.15" customHeight="1" x14ac:dyDescent="0.25">
      <c r="A39" s="29" t="s">
        <v>30</v>
      </c>
      <c r="B39" s="29" t="s">
        <v>2109</v>
      </c>
      <c r="C39" s="29" t="s">
        <v>1413</v>
      </c>
      <c r="D39" s="29" t="s">
        <v>2122</v>
      </c>
      <c r="E39" s="24" t="s">
        <v>2704</v>
      </c>
      <c r="F39" s="24" t="s">
        <v>1207</v>
      </c>
      <c r="G39" s="29" t="s">
        <v>2179</v>
      </c>
      <c r="H39" s="24">
        <v>1</v>
      </c>
      <c r="I39" s="24">
        <v>0</v>
      </c>
      <c r="J39" s="24" t="s">
        <v>539</v>
      </c>
      <c r="K39" s="24">
        <v>0</v>
      </c>
      <c r="L39" s="24" t="s">
        <v>2180</v>
      </c>
    </row>
    <row r="40" spans="1:12" ht="25.15" customHeight="1" x14ac:dyDescent="0.25">
      <c r="A40" s="29" t="s">
        <v>582</v>
      </c>
      <c r="B40" s="29" t="s">
        <v>1519</v>
      </c>
      <c r="C40" s="29" t="s">
        <v>1285</v>
      </c>
      <c r="D40" s="29" t="s">
        <v>2129</v>
      </c>
      <c r="E40" s="24" t="s">
        <v>1329</v>
      </c>
      <c r="F40" s="24" t="s">
        <v>1209</v>
      </c>
      <c r="G40" s="29" t="s">
        <v>2181</v>
      </c>
      <c r="H40" s="24">
        <v>1</v>
      </c>
      <c r="I40" s="24">
        <v>0</v>
      </c>
      <c r="J40" s="24" t="s">
        <v>539</v>
      </c>
      <c r="K40" s="24">
        <v>0</v>
      </c>
      <c r="L40" s="24" t="s">
        <v>2174</v>
      </c>
    </row>
    <row r="41" spans="1:12" ht="25.15" customHeight="1" x14ac:dyDescent="0.25">
      <c r="A41" s="29" t="s">
        <v>165</v>
      </c>
      <c r="B41" s="29" t="s">
        <v>1250</v>
      </c>
      <c r="C41" s="29" t="s">
        <v>1233</v>
      </c>
      <c r="D41" s="29" t="s">
        <v>2122</v>
      </c>
      <c r="E41" s="24" t="s">
        <v>1251</v>
      </c>
      <c r="F41" s="24" t="s">
        <v>2059</v>
      </c>
      <c r="G41" s="29" t="s">
        <v>2284</v>
      </c>
      <c r="H41" s="24">
        <v>2</v>
      </c>
      <c r="I41" s="24">
        <v>0</v>
      </c>
      <c r="J41" s="24" t="s">
        <v>539</v>
      </c>
      <c r="K41" s="24">
        <v>0</v>
      </c>
      <c r="L41" s="24" t="s">
        <v>2174</v>
      </c>
    </row>
    <row r="42" spans="1:12" ht="25.15" customHeight="1" x14ac:dyDescent="0.25">
      <c r="A42" s="29" t="s">
        <v>572</v>
      </c>
      <c r="B42" s="29" t="s">
        <v>1497</v>
      </c>
      <c r="C42" s="29" t="s">
        <v>1498</v>
      </c>
      <c r="D42" s="29" t="s">
        <v>2129</v>
      </c>
      <c r="E42" s="24" t="s">
        <v>1329</v>
      </c>
      <c r="F42" s="24" t="s">
        <v>1209</v>
      </c>
      <c r="G42" s="29" t="s">
        <v>2182</v>
      </c>
      <c r="H42" s="24">
        <v>2</v>
      </c>
      <c r="I42" s="24">
        <v>0</v>
      </c>
      <c r="J42" s="24" t="s">
        <v>539</v>
      </c>
      <c r="K42" s="24">
        <v>0</v>
      </c>
      <c r="L42" s="24" t="s">
        <v>2174</v>
      </c>
    </row>
    <row r="43" spans="1:12" ht="25.15" customHeight="1" x14ac:dyDescent="0.25">
      <c r="A43" s="29" t="s">
        <v>581</v>
      </c>
      <c r="B43" s="29" t="s">
        <v>1514</v>
      </c>
      <c r="C43" s="29" t="s">
        <v>1515</v>
      </c>
      <c r="D43" s="29" t="s">
        <v>2129</v>
      </c>
      <c r="E43" s="24" t="s">
        <v>1500</v>
      </c>
      <c r="F43" s="24" t="s">
        <v>1209</v>
      </c>
      <c r="G43" s="29" t="s">
        <v>2182</v>
      </c>
      <c r="H43" s="24">
        <v>2</v>
      </c>
      <c r="I43" s="24">
        <v>0</v>
      </c>
      <c r="J43" s="24" t="s">
        <v>539</v>
      </c>
      <c r="K43" s="24">
        <v>0</v>
      </c>
      <c r="L43" s="24" t="s">
        <v>2174</v>
      </c>
    </row>
    <row r="44" spans="1:12" ht="25.15" customHeight="1" x14ac:dyDescent="0.25">
      <c r="A44" s="29" t="s">
        <v>583</v>
      </c>
      <c r="B44" s="29" t="s">
        <v>1516</v>
      </c>
      <c r="C44" s="29" t="s">
        <v>1517</v>
      </c>
      <c r="D44" s="29" t="s">
        <v>2129</v>
      </c>
      <c r="E44" s="24" t="s">
        <v>1518</v>
      </c>
      <c r="F44" s="24" t="s">
        <v>1209</v>
      </c>
      <c r="G44" s="29" t="s">
        <v>2182</v>
      </c>
      <c r="H44" s="24">
        <v>2</v>
      </c>
      <c r="I44" s="24">
        <v>0</v>
      </c>
      <c r="J44" s="24" t="s">
        <v>539</v>
      </c>
      <c r="K44" s="24">
        <v>0</v>
      </c>
      <c r="L44" s="24" t="s">
        <v>2174</v>
      </c>
    </row>
    <row r="45" spans="1:12" ht="25.15" customHeight="1" x14ac:dyDescent="0.25">
      <c r="A45" s="29" t="s">
        <v>575</v>
      </c>
      <c r="B45" s="29" t="s">
        <v>1499</v>
      </c>
      <c r="C45" s="29" t="s">
        <v>1289</v>
      </c>
      <c r="D45" s="29" t="s">
        <v>2129</v>
      </c>
      <c r="E45" s="24" t="s">
        <v>1500</v>
      </c>
      <c r="F45" s="24" t="s">
        <v>1209</v>
      </c>
      <c r="G45" s="29" t="s">
        <v>2183</v>
      </c>
      <c r="H45" s="24" t="s">
        <v>2184</v>
      </c>
      <c r="I45" s="24">
        <v>0</v>
      </c>
      <c r="J45" s="24" t="s">
        <v>539</v>
      </c>
      <c r="K45" s="24">
        <v>0</v>
      </c>
      <c r="L45" s="24" t="s">
        <v>2174</v>
      </c>
    </row>
    <row r="46" spans="1:12" ht="25.15" customHeight="1" x14ac:dyDescent="0.25">
      <c r="A46" s="29" t="s">
        <v>201</v>
      </c>
      <c r="B46" s="29" t="s">
        <v>1212</v>
      </c>
      <c r="C46" s="29" t="s">
        <v>1213</v>
      </c>
      <c r="D46" s="29" t="s">
        <v>2126</v>
      </c>
      <c r="E46" s="24" t="s">
        <v>2365</v>
      </c>
      <c r="F46" s="24" t="s">
        <v>2059</v>
      </c>
      <c r="G46" s="29" t="s">
        <v>2366</v>
      </c>
      <c r="H46" s="24" t="s">
        <v>2367</v>
      </c>
      <c r="I46" s="24">
        <v>0</v>
      </c>
      <c r="J46" s="24" t="s">
        <v>539</v>
      </c>
      <c r="K46" s="24">
        <v>0</v>
      </c>
      <c r="L46" s="24" t="s">
        <v>2197</v>
      </c>
    </row>
    <row r="47" spans="1:12" ht="25.15" customHeight="1" x14ac:dyDescent="0.25">
      <c r="A47" s="29" t="s">
        <v>1198</v>
      </c>
      <c r="B47" s="29" t="s">
        <v>1958</v>
      </c>
      <c r="C47" s="29" t="s">
        <v>1959</v>
      </c>
      <c r="D47" s="29" t="s">
        <v>2122</v>
      </c>
      <c r="E47" s="24" t="s">
        <v>1262</v>
      </c>
      <c r="F47" s="24" t="s">
        <v>1209</v>
      </c>
      <c r="G47" s="29" t="s">
        <v>2185</v>
      </c>
      <c r="H47" s="24" t="s">
        <v>2186</v>
      </c>
      <c r="I47" s="24" t="s">
        <v>2062</v>
      </c>
      <c r="J47" s="24" t="s">
        <v>2063</v>
      </c>
      <c r="K47" s="24" t="s">
        <v>2062</v>
      </c>
      <c r="L47" s="24" t="s">
        <v>2187</v>
      </c>
    </row>
    <row r="48" spans="1:12" ht="25.15" customHeight="1" x14ac:dyDescent="0.25">
      <c r="A48" s="29" t="s">
        <v>580</v>
      </c>
      <c r="B48" s="29" t="s">
        <v>1520</v>
      </c>
      <c r="C48" s="29" t="s">
        <v>1486</v>
      </c>
      <c r="D48" s="29" t="s">
        <v>2129</v>
      </c>
      <c r="E48" s="24" t="s">
        <v>1518</v>
      </c>
      <c r="F48" s="24" t="s">
        <v>1209</v>
      </c>
      <c r="G48" s="29" t="s">
        <v>2188</v>
      </c>
      <c r="H48" s="24" t="s">
        <v>2189</v>
      </c>
      <c r="I48" s="24">
        <v>0</v>
      </c>
      <c r="J48" s="24" t="s">
        <v>539</v>
      </c>
      <c r="K48" s="24">
        <v>0</v>
      </c>
      <c r="L48" s="24" t="s">
        <v>2190</v>
      </c>
    </row>
    <row r="49" spans="1:12" ht="25.15" customHeight="1" x14ac:dyDescent="0.25">
      <c r="A49" s="29" t="s">
        <v>549</v>
      </c>
      <c r="B49" s="29" t="s">
        <v>1453</v>
      </c>
      <c r="C49" s="29" t="s">
        <v>1238</v>
      </c>
      <c r="D49" s="29" t="s">
        <v>2130</v>
      </c>
      <c r="E49" s="24" t="s">
        <v>2134</v>
      </c>
      <c r="F49" s="24" t="s">
        <v>2059</v>
      </c>
      <c r="G49" s="29" t="s">
        <v>2456</v>
      </c>
      <c r="H49" s="24">
        <v>2</v>
      </c>
      <c r="I49" s="24">
        <v>0</v>
      </c>
      <c r="J49" s="24" t="s">
        <v>539</v>
      </c>
      <c r="K49" s="24">
        <v>0</v>
      </c>
      <c r="L49" s="24" t="s">
        <v>2457</v>
      </c>
    </row>
    <row r="50" spans="1:12" ht="25.15" customHeight="1" x14ac:dyDescent="0.25">
      <c r="A50" s="29" t="s">
        <v>2093</v>
      </c>
      <c r="B50" s="29" t="s">
        <v>2110</v>
      </c>
      <c r="C50" s="29" t="s">
        <v>2121</v>
      </c>
      <c r="D50" s="29" t="s">
        <v>1186</v>
      </c>
      <c r="E50" s="24" t="s">
        <v>2145</v>
      </c>
      <c r="F50" s="24" t="s">
        <v>1209</v>
      </c>
      <c r="G50" s="29" t="s">
        <v>2192</v>
      </c>
      <c r="H50" s="24">
        <v>2</v>
      </c>
      <c r="I50" s="24">
        <v>0</v>
      </c>
      <c r="J50" s="24" t="s">
        <v>539</v>
      </c>
      <c r="K50" s="24">
        <v>0</v>
      </c>
      <c r="L50" s="24" t="s">
        <v>2193</v>
      </c>
    </row>
    <row r="51" spans="1:12" ht="25.15" customHeight="1" x14ac:dyDescent="0.25">
      <c r="A51" s="29" t="s">
        <v>417</v>
      </c>
      <c r="B51" s="29" t="s">
        <v>1376</v>
      </c>
      <c r="C51" s="29" t="s">
        <v>1228</v>
      </c>
      <c r="D51" s="29" t="s">
        <v>2127</v>
      </c>
      <c r="E51" s="24" t="s">
        <v>1236</v>
      </c>
      <c r="F51" s="24" t="s">
        <v>1209</v>
      </c>
      <c r="G51" s="29" t="s">
        <v>2194</v>
      </c>
      <c r="H51" s="24" t="s">
        <v>2195</v>
      </c>
      <c r="I51" s="24" t="s">
        <v>2062</v>
      </c>
      <c r="J51" s="24" t="s">
        <v>2063</v>
      </c>
      <c r="K51" s="24" t="s">
        <v>2062</v>
      </c>
      <c r="L51" s="24" t="s">
        <v>2196</v>
      </c>
    </row>
    <row r="52" spans="1:12" ht="25.15" customHeight="1" x14ac:dyDescent="0.25">
      <c r="A52" s="29" t="s">
        <v>243</v>
      </c>
      <c r="B52" s="29" t="s">
        <v>1335</v>
      </c>
      <c r="C52" s="29" t="s">
        <v>1336</v>
      </c>
      <c r="D52" s="29" t="s">
        <v>2126</v>
      </c>
      <c r="E52" s="24" t="s">
        <v>2146</v>
      </c>
      <c r="F52" s="24" t="s">
        <v>2059</v>
      </c>
      <c r="G52" s="29" t="s">
        <v>2390</v>
      </c>
      <c r="H52" s="24">
        <v>1</v>
      </c>
      <c r="I52" s="24">
        <v>0</v>
      </c>
      <c r="J52" s="24" t="s">
        <v>539</v>
      </c>
      <c r="K52" s="24">
        <v>0</v>
      </c>
      <c r="L52" s="24" t="s">
        <v>2197</v>
      </c>
    </row>
    <row r="53" spans="1:12" ht="25.15" customHeight="1" x14ac:dyDescent="0.25">
      <c r="A53" s="28" t="s">
        <v>360</v>
      </c>
      <c r="B53" s="28" t="s">
        <v>1216</v>
      </c>
      <c r="C53" s="28" t="s">
        <v>1211</v>
      </c>
      <c r="D53" s="28" t="s">
        <v>2125</v>
      </c>
      <c r="E53" s="30">
        <v>45218</v>
      </c>
      <c r="F53" s="27" t="s">
        <v>1207</v>
      </c>
      <c r="G53" s="28" t="s">
        <v>2355</v>
      </c>
      <c r="H53" s="27" t="s">
        <v>2198</v>
      </c>
      <c r="I53" s="27" t="s">
        <v>2062</v>
      </c>
      <c r="J53" s="27" t="s">
        <v>2063</v>
      </c>
      <c r="K53" s="27" t="s">
        <v>2062</v>
      </c>
      <c r="L53" s="27" t="s">
        <v>2199</v>
      </c>
    </row>
    <row r="54" spans="1:12" ht="25.15" customHeight="1" x14ac:dyDescent="0.25">
      <c r="A54" s="29" t="s">
        <v>1199</v>
      </c>
      <c r="B54" s="29" t="s">
        <v>1960</v>
      </c>
      <c r="C54" s="29" t="s">
        <v>1317</v>
      </c>
      <c r="D54" s="29" t="s">
        <v>2130</v>
      </c>
      <c r="E54" s="24" t="s">
        <v>1262</v>
      </c>
      <c r="F54" s="24" t="s">
        <v>1487</v>
      </c>
      <c r="G54" s="29" t="s">
        <v>2200</v>
      </c>
      <c r="H54" s="24">
        <v>4</v>
      </c>
      <c r="I54" s="24">
        <v>0</v>
      </c>
      <c r="J54" s="24" t="s">
        <v>539</v>
      </c>
      <c r="K54" s="24">
        <v>0</v>
      </c>
      <c r="L54" s="24" t="s">
        <v>2201</v>
      </c>
    </row>
    <row r="55" spans="1:12" ht="25.15" customHeight="1" x14ac:dyDescent="0.25">
      <c r="A55" s="29" t="s">
        <v>415</v>
      </c>
      <c r="B55" s="29" t="s">
        <v>2111</v>
      </c>
      <c r="C55" s="29" t="s">
        <v>1226</v>
      </c>
      <c r="D55" s="29" t="s">
        <v>623</v>
      </c>
      <c r="E55" s="24" t="s">
        <v>2287</v>
      </c>
      <c r="F55" s="24" t="s">
        <v>2059</v>
      </c>
      <c r="G55" s="29" t="s">
        <v>2288</v>
      </c>
      <c r="H55" s="24">
        <v>4</v>
      </c>
      <c r="I55" s="24">
        <v>0</v>
      </c>
      <c r="J55" s="24" t="s">
        <v>539</v>
      </c>
      <c r="K55" s="24">
        <v>0</v>
      </c>
      <c r="L55" s="24" t="s">
        <v>2289</v>
      </c>
    </row>
    <row r="56" spans="1:12" ht="25.15" customHeight="1" x14ac:dyDescent="0.25">
      <c r="A56" s="29" t="s">
        <v>193</v>
      </c>
      <c r="B56" s="29" t="s">
        <v>1263</v>
      </c>
      <c r="C56" s="29" t="s">
        <v>1264</v>
      </c>
      <c r="D56" s="29" t="s">
        <v>1186</v>
      </c>
      <c r="E56" s="31">
        <v>45226</v>
      </c>
      <c r="F56" s="24" t="s">
        <v>1207</v>
      </c>
      <c r="G56" s="29" t="s">
        <v>2344</v>
      </c>
      <c r="H56" s="24">
        <v>1</v>
      </c>
      <c r="I56" s="24">
        <v>0</v>
      </c>
      <c r="J56" s="24" t="s">
        <v>539</v>
      </c>
      <c r="K56" s="24">
        <v>0</v>
      </c>
      <c r="L56" s="24" t="s">
        <v>2202</v>
      </c>
    </row>
    <row r="57" spans="1:12" ht="25.15" customHeight="1" x14ac:dyDescent="0.25">
      <c r="A57" s="29" t="s">
        <v>1187</v>
      </c>
      <c r="B57" s="29" t="s">
        <v>1953</v>
      </c>
      <c r="C57" s="29" t="s">
        <v>1340</v>
      </c>
      <c r="D57" s="29" t="s">
        <v>2122</v>
      </c>
      <c r="E57" s="24" t="s">
        <v>2147</v>
      </c>
      <c r="F57" s="24" t="s">
        <v>1487</v>
      </c>
      <c r="G57" s="29" t="s">
        <v>2203</v>
      </c>
      <c r="H57" s="24">
        <v>1</v>
      </c>
      <c r="I57" s="24">
        <v>0</v>
      </c>
      <c r="J57" s="24" t="s">
        <v>539</v>
      </c>
      <c r="K57" s="24">
        <v>0</v>
      </c>
      <c r="L57" s="24" t="s">
        <v>2173</v>
      </c>
    </row>
    <row r="58" spans="1:12" ht="25.15" customHeight="1" x14ac:dyDescent="0.25">
      <c r="A58" s="29" t="s">
        <v>149</v>
      </c>
      <c r="B58" s="29" t="s">
        <v>2394</v>
      </c>
      <c r="C58" s="29" t="s">
        <v>1328</v>
      </c>
      <c r="D58" s="29" t="s">
        <v>2125</v>
      </c>
      <c r="E58" s="31">
        <v>45301</v>
      </c>
      <c r="F58" s="24" t="s">
        <v>1207</v>
      </c>
      <c r="G58" s="29" t="s">
        <v>2393</v>
      </c>
      <c r="H58" s="24" t="s">
        <v>2204</v>
      </c>
      <c r="I58" s="24" t="s">
        <v>2062</v>
      </c>
      <c r="J58" s="24" t="s">
        <v>2063</v>
      </c>
      <c r="K58" s="24" t="s">
        <v>2062</v>
      </c>
      <c r="L58" s="24" t="s">
        <v>2199</v>
      </c>
    </row>
    <row r="59" spans="1:12" ht="25.15" customHeight="1" x14ac:dyDescent="0.25">
      <c r="A59" s="29" t="s">
        <v>510</v>
      </c>
      <c r="B59" s="29" t="s">
        <v>1448</v>
      </c>
      <c r="C59" s="29" t="s">
        <v>1449</v>
      </c>
      <c r="D59" s="29" t="s">
        <v>2125</v>
      </c>
      <c r="E59" s="24" t="s">
        <v>2134</v>
      </c>
      <c r="F59" s="24" t="s">
        <v>2059</v>
      </c>
      <c r="G59" s="29" t="s">
        <v>2460</v>
      </c>
      <c r="H59" s="24" t="s">
        <v>2461</v>
      </c>
      <c r="I59" s="24" t="s">
        <v>2462</v>
      </c>
      <c r="J59" s="24" t="s">
        <v>2463</v>
      </c>
      <c r="K59" s="24" t="s">
        <v>2462</v>
      </c>
      <c r="L59" s="24" t="s">
        <v>2464</v>
      </c>
    </row>
    <row r="60" spans="1:12" ht="25.15" customHeight="1" x14ac:dyDescent="0.25">
      <c r="A60" s="29" t="s">
        <v>569</v>
      </c>
      <c r="B60" s="29" t="s">
        <v>2112</v>
      </c>
      <c r="C60" s="29" t="s">
        <v>1285</v>
      </c>
      <c r="E60" s="24" t="s">
        <v>2137</v>
      </c>
      <c r="F60" s="24" t="s">
        <v>1209</v>
      </c>
      <c r="G60" s="29" t="s">
        <v>2207</v>
      </c>
      <c r="H60" s="24" t="s">
        <v>2208</v>
      </c>
      <c r="I60" s="24" t="s">
        <v>2209</v>
      </c>
      <c r="J60" s="24" t="s">
        <v>2063</v>
      </c>
      <c r="K60" s="24" t="s">
        <v>2062</v>
      </c>
      <c r="L60" s="24" t="s">
        <v>2187</v>
      </c>
    </row>
    <row r="61" spans="1:12" ht="25.15" customHeight="1" x14ac:dyDescent="0.25">
      <c r="A61" s="29" t="s">
        <v>584</v>
      </c>
      <c r="B61" s="29" t="s">
        <v>1521</v>
      </c>
      <c r="C61" s="29" t="s">
        <v>1342</v>
      </c>
      <c r="D61" s="29" t="s">
        <v>2129</v>
      </c>
      <c r="E61" s="24" t="s">
        <v>1500</v>
      </c>
      <c r="F61" s="24" t="s">
        <v>1209</v>
      </c>
      <c r="G61" s="29" t="s">
        <v>2210</v>
      </c>
      <c r="H61" s="24">
        <v>2</v>
      </c>
      <c r="I61" s="24">
        <v>0</v>
      </c>
      <c r="J61" s="24" t="s">
        <v>539</v>
      </c>
      <c r="K61" s="24">
        <v>0</v>
      </c>
      <c r="L61" s="24" t="s">
        <v>2174</v>
      </c>
    </row>
    <row r="62" spans="1:12" ht="25.15" customHeight="1" x14ac:dyDescent="0.25">
      <c r="A62" s="29" t="s">
        <v>1200</v>
      </c>
      <c r="B62" s="29" t="s">
        <v>1961</v>
      </c>
      <c r="C62" s="29" t="s">
        <v>1274</v>
      </c>
      <c r="D62" s="29" t="s">
        <v>2130</v>
      </c>
      <c r="E62" s="24" t="s">
        <v>1262</v>
      </c>
      <c r="F62" s="24" t="s">
        <v>1487</v>
      </c>
      <c r="G62" s="29" t="s">
        <v>2211</v>
      </c>
      <c r="H62" s="24">
        <v>1</v>
      </c>
      <c r="I62" s="24">
        <v>0</v>
      </c>
      <c r="J62" s="24" t="s">
        <v>539</v>
      </c>
      <c r="K62" s="24">
        <v>0</v>
      </c>
      <c r="L62" s="24" t="s">
        <v>2201</v>
      </c>
    </row>
    <row r="63" spans="1:12" ht="25.15" customHeight="1" x14ac:dyDescent="0.25">
      <c r="A63" s="29" t="s">
        <v>347</v>
      </c>
      <c r="B63" s="29" t="s">
        <v>2113</v>
      </c>
      <c r="C63" s="29" t="s">
        <v>1206</v>
      </c>
      <c r="D63" s="29" t="s">
        <v>2122</v>
      </c>
      <c r="E63" s="24" t="s">
        <v>2137</v>
      </c>
      <c r="F63" s="24" t="s">
        <v>1209</v>
      </c>
      <c r="G63" s="29" t="s">
        <v>2212</v>
      </c>
      <c r="H63" s="24">
        <v>4</v>
      </c>
      <c r="I63" s="24">
        <v>0</v>
      </c>
      <c r="J63" s="24" t="s">
        <v>539</v>
      </c>
      <c r="K63" s="24">
        <v>0</v>
      </c>
      <c r="L63" s="24" t="s">
        <v>2174</v>
      </c>
    </row>
    <row r="64" spans="1:12" ht="25.15" customHeight="1" x14ac:dyDescent="0.25">
      <c r="A64" s="29" t="s">
        <v>203</v>
      </c>
      <c r="B64" s="29" t="s">
        <v>2114</v>
      </c>
      <c r="C64" s="29" t="s">
        <v>1851</v>
      </c>
      <c r="D64" s="29" t="s">
        <v>2123</v>
      </c>
      <c r="E64" s="24" t="s">
        <v>2148</v>
      </c>
      <c r="F64" s="24" t="s">
        <v>1209</v>
      </c>
      <c r="G64" s="29" t="s">
        <v>2213</v>
      </c>
      <c r="H64" s="24">
        <v>3</v>
      </c>
      <c r="I64" s="24">
        <v>0</v>
      </c>
      <c r="J64" s="24" t="s">
        <v>539</v>
      </c>
      <c r="K64" s="24">
        <v>0</v>
      </c>
      <c r="L64" s="24" t="s">
        <v>539</v>
      </c>
    </row>
    <row r="65" spans="1:12" ht="25.15" customHeight="1" x14ac:dyDescent="0.25">
      <c r="A65" s="29" t="s">
        <v>610</v>
      </c>
      <c r="B65" s="29" t="s">
        <v>1946</v>
      </c>
      <c r="C65" s="29" t="s">
        <v>1429</v>
      </c>
      <c r="D65" s="29" t="s">
        <v>2123</v>
      </c>
      <c r="E65" s="24" t="s">
        <v>1950</v>
      </c>
      <c r="F65" s="24" t="s">
        <v>1209</v>
      </c>
      <c r="G65" s="29" t="s">
        <v>2214</v>
      </c>
      <c r="H65" s="24">
        <v>4</v>
      </c>
      <c r="I65" s="24">
        <v>0</v>
      </c>
      <c r="J65" s="24" t="s">
        <v>539</v>
      </c>
      <c r="K65" s="24">
        <v>0</v>
      </c>
      <c r="L65" s="24" t="s">
        <v>2174</v>
      </c>
    </row>
    <row r="66" spans="1:12" ht="25.15" customHeight="1" x14ac:dyDescent="0.25">
      <c r="A66" s="29" t="s">
        <v>579</v>
      </c>
      <c r="B66" s="29" t="s">
        <v>1506</v>
      </c>
      <c r="C66" s="29" t="s">
        <v>1507</v>
      </c>
      <c r="D66" s="29" t="s">
        <v>2129</v>
      </c>
      <c r="E66" s="24" t="s">
        <v>1329</v>
      </c>
      <c r="F66" s="24" t="s">
        <v>1209</v>
      </c>
      <c r="G66" s="29" t="s">
        <v>2215</v>
      </c>
      <c r="H66" s="24">
        <v>2</v>
      </c>
      <c r="I66" s="24">
        <v>0</v>
      </c>
      <c r="J66" s="24" t="s">
        <v>539</v>
      </c>
      <c r="K66" s="24">
        <v>0</v>
      </c>
      <c r="L66" s="24" t="s">
        <v>2174</v>
      </c>
    </row>
    <row r="67" spans="1:12" ht="25.15" customHeight="1" x14ac:dyDescent="0.25">
      <c r="A67" s="29" t="s">
        <v>577</v>
      </c>
      <c r="B67" s="29" t="s">
        <v>1522</v>
      </c>
      <c r="C67" s="29" t="s">
        <v>1429</v>
      </c>
      <c r="D67" s="29" t="s">
        <v>2129</v>
      </c>
      <c r="E67" s="24" t="s">
        <v>1518</v>
      </c>
      <c r="F67" s="24" t="s">
        <v>1209</v>
      </c>
      <c r="G67" s="29" t="s">
        <v>2215</v>
      </c>
      <c r="H67" s="24">
        <v>2</v>
      </c>
      <c r="I67" s="24">
        <v>0</v>
      </c>
      <c r="J67" s="24" t="s">
        <v>539</v>
      </c>
      <c r="K67" s="24">
        <v>0</v>
      </c>
      <c r="L67" s="24" t="s">
        <v>2174</v>
      </c>
    </row>
    <row r="68" spans="1:12" ht="25.15" customHeight="1" x14ac:dyDescent="0.25">
      <c r="A68" s="29" t="s">
        <v>413</v>
      </c>
      <c r="B68" s="29" t="s">
        <v>1840</v>
      </c>
      <c r="C68" s="29" t="s">
        <v>1411</v>
      </c>
      <c r="D68" s="29" t="s">
        <v>2126</v>
      </c>
      <c r="E68" s="24" t="s">
        <v>2149</v>
      </c>
      <c r="F68" s="24" t="s">
        <v>2059</v>
      </c>
      <c r="G68" s="29" t="s">
        <v>2326</v>
      </c>
      <c r="H68" s="24">
        <v>2</v>
      </c>
      <c r="I68" s="24">
        <v>0</v>
      </c>
      <c r="J68" s="24" t="s">
        <v>539</v>
      </c>
      <c r="K68" s="24">
        <v>0</v>
      </c>
      <c r="L68" s="24" t="s">
        <v>2170</v>
      </c>
    </row>
    <row r="69" spans="1:12" ht="25.15" customHeight="1" x14ac:dyDescent="0.25">
      <c r="A69" s="29" t="s">
        <v>562</v>
      </c>
      <c r="B69" s="29" t="s">
        <v>1613</v>
      </c>
      <c r="C69" s="29" t="s">
        <v>1328</v>
      </c>
      <c r="D69" s="29" t="s">
        <v>2125</v>
      </c>
      <c r="E69" s="24" t="s">
        <v>2137</v>
      </c>
      <c r="F69" s="24" t="s">
        <v>2059</v>
      </c>
      <c r="G69" s="29" t="s">
        <v>2397</v>
      </c>
      <c r="H69" s="24" t="s">
        <v>2398</v>
      </c>
      <c r="I69" s="24" t="s">
        <v>2205</v>
      </c>
      <c r="J69" s="24" t="s">
        <v>2206</v>
      </c>
      <c r="K69" s="24" t="s">
        <v>2205</v>
      </c>
      <c r="L69" s="24" t="s">
        <v>2399</v>
      </c>
    </row>
    <row r="70" spans="1:12" ht="25.15" customHeight="1" x14ac:dyDescent="0.25">
      <c r="A70" s="29" t="s">
        <v>570</v>
      </c>
      <c r="B70" s="29" t="s">
        <v>1485</v>
      </c>
      <c r="C70" s="29" t="s">
        <v>1486</v>
      </c>
      <c r="D70" s="29" t="s">
        <v>2129</v>
      </c>
      <c r="E70" s="24" t="s">
        <v>1454</v>
      </c>
      <c r="F70" s="24" t="s">
        <v>1487</v>
      </c>
      <c r="G70" s="29" t="s">
        <v>2216</v>
      </c>
      <c r="H70" s="24">
        <v>3</v>
      </c>
      <c r="I70" s="24">
        <v>0</v>
      </c>
      <c r="J70" s="24" t="s">
        <v>539</v>
      </c>
      <c r="K70" s="24">
        <v>0</v>
      </c>
      <c r="L70" s="24" t="s">
        <v>2190</v>
      </c>
    </row>
    <row r="71" spans="1:12" ht="25.15" customHeight="1" x14ac:dyDescent="0.25">
      <c r="A71" s="29" t="s">
        <v>553</v>
      </c>
      <c r="B71" s="29" t="s">
        <v>1974</v>
      </c>
      <c r="C71" s="29" t="s">
        <v>1413</v>
      </c>
      <c r="D71" s="29" t="s">
        <v>2126</v>
      </c>
      <c r="E71" s="31">
        <v>45415</v>
      </c>
      <c r="F71" s="24" t="s">
        <v>1207</v>
      </c>
      <c r="G71" s="29" t="s">
        <v>2217</v>
      </c>
      <c r="H71" s="24">
        <v>1</v>
      </c>
      <c r="I71" s="24">
        <v>0</v>
      </c>
      <c r="J71" s="24" t="s">
        <v>539</v>
      </c>
      <c r="K71" s="24">
        <v>0</v>
      </c>
      <c r="L71" s="24" t="s">
        <v>2218</v>
      </c>
    </row>
    <row r="72" spans="1:12" ht="25.15" customHeight="1" x14ac:dyDescent="0.25">
      <c r="A72" s="36" t="s">
        <v>265</v>
      </c>
      <c r="B72" s="29" t="s">
        <v>1754</v>
      </c>
      <c r="C72" s="29" t="s">
        <v>1306</v>
      </c>
      <c r="D72" s="29" t="s">
        <v>1186</v>
      </c>
      <c r="E72" s="24" t="s">
        <v>2445</v>
      </c>
      <c r="F72" s="24" t="s">
        <v>2059</v>
      </c>
      <c r="G72" s="29" t="s">
        <v>2063</v>
      </c>
      <c r="H72" s="24" t="s">
        <v>2062</v>
      </c>
      <c r="I72" s="24" t="s">
        <v>2446</v>
      </c>
      <c r="J72" s="24" t="s">
        <v>2063</v>
      </c>
      <c r="K72" s="24" t="s">
        <v>2062</v>
      </c>
      <c r="L72" s="24" t="s">
        <v>2219</v>
      </c>
    </row>
    <row r="73" spans="1:12" ht="25.15" customHeight="1" x14ac:dyDescent="0.25">
      <c r="A73" s="29" t="s">
        <v>38</v>
      </c>
      <c r="B73" s="29" t="s">
        <v>1821</v>
      </c>
      <c r="C73" s="29" t="s">
        <v>1233</v>
      </c>
      <c r="D73" s="29" t="s">
        <v>2122</v>
      </c>
      <c r="E73" s="24" t="s">
        <v>1251</v>
      </c>
      <c r="F73" s="24" t="s">
        <v>1209</v>
      </c>
      <c r="G73" s="29" t="s">
        <v>2063</v>
      </c>
      <c r="H73" s="24" t="s">
        <v>2062</v>
      </c>
      <c r="I73" s="24" t="s">
        <v>2062</v>
      </c>
      <c r="J73" s="24" t="s">
        <v>2220</v>
      </c>
      <c r="K73" s="24" t="s">
        <v>2221</v>
      </c>
      <c r="L73" s="24" t="s">
        <v>2063</v>
      </c>
    </row>
    <row r="74" spans="1:12" ht="25.15" customHeight="1" x14ac:dyDescent="0.25">
      <c r="A74" s="29" t="s">
        <v>335</v>
      </c>
      <c r="B74" s="29" t="s">
        <v>1260</v>
      </c>
      <c r="C74" s="29" t="s">
        <v>1261</v>
      </c>
      <c r="D74" s="29" t="s">
        <v>2131</v>
      </c>
      <c r="E74" s="24" t="s">
        <v>1262</v>
      </c>
      <c r="F74" s="24" t="s">
        <v>1209</v>
      </c>
      <c r="G74" s="29" t="s">
        <v>2222</v>
      </c>
      <c r="H74" s="24" t="s">
        <v>2223</v>
      </c>
      <c r="I74" s="24" t="s">
        <v>2205</v>
      </c>
      <c r="J74" s="24" t="s">
        <v>2224</v>
      </c>
      <c r="K74" s="24" t="s">
        <v>2225</v>
      </c>
      <c r="L74" s="24" t="s">
        <v>2226</v>
      </c>
    </row>
    <row r="75" spans="1:12" ht="25.15" customHeight="1" x14ac:dyDescent="0.25">
      <c r="A75" s="29" t="s">
        <v>321</v>
      </c>
      <c r="B75" s="29" t="s">
        <v>1819</v>
      </c>
      <c r="C75" s="29" t="s">
        <v>1803</v>
      </c>
      <c r="D75" s="29" t="s">
        <v>2123</v>
      </c>
      <c r="E75" s="24" t="s">
        <v>2150</v>
      </c>
      <c r="F75" s="24" t="s">
        <v>1209</v>
      </c>
      <c r="G75" s="29" t="s">
        <v>2206</v>
      </c>
      <c r="H75" s="24" t="s">
        <v>2205</v>
      </c>
      <c r="I75" s="24" t="s">
        <v>2227</v>
      </c>
      <c r="J75" s="24" t="s">
        <v>2206</v>
      </c>
      <c r="K75" s="24" t="s">
        <v>2205</v>
      </c>
      <c r="L75" s="24" t="s">
        <v>2228</v>
      </c>
    </row>
    <row r="76" spans="1:12" ht="25.15" customHeight="1" x14ac:dyDescent="0.25">
      <c r="A76" s="29" t="s">
        <v>430</v>
      </c>
      <c r="B76" s="29" t="s">
        <v>2115</v>
      </c>
      <c r="C76" s="29" t="s">
        <v>1306</v>
      </c>
      <c r="D76" s="29" t="s">
        <v>1186</v>
      </c>
      <c r="E76" s="24" t="s">
        <v>2151</v>
      </c>
      <c r="F76" s="24" t="s">
        <v>1209</v>
      </c>
      <c r="G76" s="29" t="s">
        <v>2229</v>
      </c>
      <c r="H76" s="24">
        <v>1</v>
      </c>
      <c r="I76" s="24">
        <v>0</v>
      </c>
      <c r="J76" s="24" t="s">
        <v>539</v>
      </c>
      <c r="K76" s="24">
        <v>0</v>
      </c>
      <c r="L76" s="24" t="s">
        <v>2201</v>
      </c>
    </row>
    <row r="77" spans="1:12" ht="25.15" customHeight="1" x14ac:dyDescent="0.25">
      <c r="A77" s="29" t="s">
        <v>465</v>
      </c>
      <c r="B77" s="29" t="s">
        <v>1838</v>
      </c>
      <c r="C77" s="29" t="s">
        <v>1810</v>
      </c>
      <c r="D77" s="29" t="s">
        <v>2123</v>
      </c>
      <c r="E77" s="24" t="s">
        <v>1839</v>
      </c>
      <c r="F77" s="24" t="s">
        <v>1209</v>
      </c>
      <c r="G77" s="29" t="s">
        <v>2230</v>
      </c>
      <c r="H77" s="24" t="s">
        <v>2231</v>
      </c>
      <c r="I77" s="24" t="s">
        <v>2232</v>
      </c>
      <c r="J77" s="24" t="s">
        <v>2063</v>
      </c>
      <c r="K77" s="24" t="s">
        <v>2062</v>
      </c>
      <c r="L77" s="24" t="s">
        <v>2233</v>
      </c>
    </row>
    <row r="78" spans="1:12" ht="25.15" customHeight="1" x14ac:dyDescent="0.25">
      <c r="A78" s="29" t="s">
        <v>573</v>
      </c>
      <c r="B78" s="29" t="s">
        <v>1508</v>
      </c>
      <c r="C78" s="29" t="s">
        <v>1509</v>
      </c>
      <c r="D78" s="29" t="s">
        <v>2126</v>
      </c>
      <c r="E78" s="24" t="s">
        <v>1329</v>
      </c>
      <c r="F78" s="24" t="s">
        <v>1209</v>
      </c>
      <c r="G78" s="29" t="s">
        <v>2234</v>
      </c>
      <c r="H78" s="24">
        <v>1</v>
      </c>
      <c r="I78" s="24">
        <v>0</v>
      </c>
      <c r="J78" s="24" t="s">
        <v>539</v>
      </c>
      <c r="K78" s="24">
        <v>0</v>
      </c>
      <c r="L78" s="24" t="s">
        <v>2173</v>
      </c>
    </row>
    <row r="79" spans="1:12" ht="25.15" customHeight="1" x14ac:dyDescent="0.25">
      <c r="A79" s="28" t="s">
        <v>412</v>
      </c>
      <c r="B79" s="28" t="s">
        <v>1576</v>
      </c>
      <c r="C79" s="28" t="s">
        <v>1233</v>
      </c>
      <c r="D79" s="28" t="s">
        <v>2122</v>
      </c>
      <c r="E79" s="27" t="s">
        <v>2136</v>
      </c>
      <c r="F79" s="27" t="s">
        <v>2059</v>
      </c>
      <c r="G79" s="28" t="s">
        <v>2318</v>
      </c>
      <c r="H79" s="27" t="s">
        <v>2235</v>
      </c>
      <c r="I79" s="27" t="s">
        <v>2062</v>
      </c>
      <c r="J79" s="27" t="s">
        <v>2063</v>
      </c>
      <c r="K79" s="27" t="s">
        <v>2062</v>
      </c>
      <c r="L79" s="27" t="s">
        <v>2187</v>
      </c>
    </row>
    <row r="80" spans="1:12" ht="40.15" customHeight="1" x14ac:dyDescent="0.25">
      <c r="A80" s="29" t="s">
        <v>26</v>
      </c>
      <c r="B80" s="29" t="s">
        <v>1823</v>
      </c>
      <c r="C80" s="29" t="s">
        <v>1268</v>
      </c>
      <c r="D80" s="29" t="s">
        <v>2123</v>
      </c>
      <c r="E80" s="31">
        <v>45406</v>
      </c>
      <c r="F80" s="24" t="s">
        <v>1207</v>
      </c>
      <c r="G80" s="28" t="s">
        <v>2337</v>
      </c>
      <c r="H80" s="27" t="s">
        <v>2339</v>
      </c>
      <c r="I80" s="27" t="s">
        <v>2340</v>
      </c>
      <c r="J80" s="24" t="s">
        <v>2206</v>
      </c>
      <c r="K80" s="24" t="s">
        <v>2206</v>
      </c>
      <c r="L80" s="27" t="s">
        <v>2338</v>
      </c>
    </row>
    <row r="81" spans="1:12" ht="25.15" customHeight="1" x14ac:dyDescent="0.25">
      <c r="A81" s="29" t="s">
        <v>410</v>
      </c>
      <c r="B81" s="29" t="s">
        <v>2116</v>
      </c>
      <c r="C81" s="29" t="s">
        <v>1206</v>
      </c>
      <c r="D81" s="29" t="s">
        <v>2122</v>
      </c>
      <c r="E81" s="24" t="s">
        <v>2152</v>
      </c>
      <c r="F81" s="24" t="s">
        <v>1209</v>
      </c>
      <c r="G81" s="29" t="s">
        <v>2236</v>
      </c>
      <c r="H81" s="24" t="s">
        <v>2237</v>
      </c>
      <c r="I81" s="24" t="s">
        <v>2062</v>
      </c>
      <c r="J81" s="24" t="s">
        <v>2063</v>
      </c>
      <c r="K81" s="24" t="s">
        <v>2062</v>
      </c>
      <c r="L81" s="24" t="s">
        <v>2238</v>
      </c>
    </row>
    <row r="82" spans="1:12" ht="25.15" customHeight="1" x14ac:dyDescent="0.25">
      <c r="A82" s="29" t="s">
        <v>336</v>
      </c>
      <c r="B82" s="29" t="s">
        <v>1257</v>
      </c>
      <c r="C82" s="29" t="s">
        <v>1258</v>
      </c>
      <c r="D82" s="29" t="s">
        <v>2131</v>
      </c>
      <c r="E82" s="24" t="s">
        <v>1259</v>
      </c>
      <c r="F82" s="24" t="s">
        <v>1209</v>
      </c>
      <c r="G82" s="29" t="s">
        <v>2239</v>
      </c>
      <c r="H82" s="24" t="s">
        <v>2240</v>
      </c>
      <c r="I82" s="24" t="s">
        <v>2241</v>
      </c>
      <c r="J82" s="24" t="s">
        <v>2242</v>
      </c>
      <c r="K82" s="24" t="s">
        <v>2243</v>
      </c>
      <c r="L82" s="24" t="s">
        <v>2244</v>
      </c>
    </row>
    <row r="83" spans="1:12" ht="25.15" customHeight="1" x14ac:dyDescent="0.25">
      <c r="A83" s="29" t="s">
        <v>1189</v>
      </c>
      <c r="B83" s="29" t="s">
        <v>1954</v>
      </c>
      <c r="C83" s="29" t="s">
        <v>1444</v>
      </c>
      <c r="D83" s="29" t="s">
        <v>2057</v>
      </c>
      <c r="E83" s="24" t="s">
        <v>1955</v>
      </c>
      <c r="F83" s="24" t="s">
        <v>1207</v>
      </c>
      <c r="G83" s="29" t="s">
        <v>2245</v>
      </c>
      <c r="H83" s="24">
        <v>0</v>
      </c>
      <c r="I83" s="24">
        <v>0</v>
      </c>
      <c r="J83" s="24" t="s">
        <v>539</v>
      </c>
      <c r="K83" s="24">
        <v>0</v>
      </c>
      <c r="L83" s="24" t="s">
        <v>2246</v>
      </c>
    </row>
    <row r="84" spans="1:12" ht="25.15" customHeight="1" x14ac:dyDescent="0.25">
      <c r="A84" s="29" t="s">
        <v>602</v>
      </c>
      <c r="B84" s="29" t="s">
        <v>1944</v>
      </c>
      <c r="C84" s="29" t="s">
        <v>1235</v>
      </c>
      <c r="D84" s="29" t="s">
        <v>2126</v>
      </c>
      <c r="E84" s="24" t="s">
        <v>2138</v>
      </c>
      <c r="F84" s="24" t="s">
        <v>1209</v>
      </c>
      <c r="G84" s="29" t="s">
        <v>2247</v>
      </c>
      <c r="H84" s="24">
        <v>0</v>
      </c>
      <c r="I84" s="24">
        <v>0</v>
      </c>
      <c r="J84" s="24" t="s">
        <v>539</v>
      </c>
      <c r="K84" s="24">
        <v>0</v>
      </c>
      <c r="L84" s="24" t="s">
        <v>2246</v>
      </c>
    </row>
    <row r="85" spans="1:12" ht="25.15" customHeight="1" x14ac:dyDescent="0.25">
      <c r="A85" s="29" t="s">
        <v>613</v>
      </c>
      <c r="B85" s="29" t="s">
        <v>1947</v>
      </c>
      <c r="C85" s="29" t="s">
        <v>1266</v>
      </c>
      <c r="D85" s="29" t="s">
        <v>2057</v>
      </c>
      <c r="E85" s="24" t="s">
        <v>2153</v>
      </c>
      <c r="F85" s="24" t="s">
        <v>1209</v>
      </c>
      <c r="G85" s="29" t="s">
        <v>2248</v>
      </c>
      <c r="H85" s="24">
        <v>0</v>
      </c>
      <c r="I85" s="24">
        <v>0</v>
      </c>
      <c r="J85" s="24" t="s">
        <v>539</v>
      </c>
      <c r="K85" s="24">
        <v>0</v>
      </c>
      <c r="L85" s="24" t="s">
        <v>2246</v>
      </c>
    </row>
    <row r="86" spans="1:12" ht="25.15" customHeight="1" x14ac:dyDescent="0.25">
      <c r="A86" s="29" t="s">
        <v>1196</v>
      </c>
      <c r="B86" s="29" t="s">
        <v>1957</v>
      </c>
      <c r="C86" s="29" t="s">
        <v>1403</v>
      </c>
      <c r="D86" s="29" t="s">
        <v>2057</v>
      </c>
      <c r="E86" s="24" t="s">
        <v>1948</v>
      </c>
      <c r="F86" s="24" t="s">
        <v>1209</v>
      </c>
      <c r="G86" s="29" t="s">
        <v>2249</v>
      </c>
      <c r="H86" s="24">
        <v>0</v>
      </c>
      <c r="I86" s="24">
        <v>0</v>
      </c>
      <c r="J86" s="24" t="s">
        <v>539</v>
      </c>
      <c r="K86" s="24">
        <v>0</v>
      </c>
      <c r="L86" s="24" t="s">
        <v>2246</v>
      </c>
    </row>
    <row r="87" spans="1:12" ht="25.15" customHeight="1" x14ac:dyDescent="0.25">
      <c r="A87" s="29" t="s">
        <v>2094</v>
      </c>
      <c r="B87" s="29" t="s">
        <v>2117</v>
      </c>
      <c r="C87" s="29" t="s">
        <v>1342</v>
      </c>
      <c r="D87" s="29" t="s">
        <v>2132</v>
      </c>
      <c r="E87" s="24" t="s">
        <v>1251</v>
      </c>
      <c r="F87" s="24" t="s">
        <v>1209</v>
      </c>
      <c r="G87" s="29" t="s">
        <v>2250</v>
      </c>
      <c r="H87" s="24">
        <v>0</v>
      </c>
      <c r="I87" s="24">
        <v>0</v>
      </c>
      <c r="J87" s="24" t="s">
        <v>539</v>
      </c>
      <c r="K87" s="24">
        <v>0</v>
      </c>
      <c r="L87" s="24" t="s">
        <v>2251</v>
      </c>
    </row>
    <row r="88" spans="1:12" ht="25.15" customHeight="1" x14ac:dyDescent="0.25">
      <c r="A88" s="29" t="s">
        <v>2095</v>
      </c>
      <c r="B88" s="29" t="s">
        <v>2118</v>
      </c>
      <c r="C88" s="29" t="s">
        <v>1434</v>
      </c>
      <c r="D88" s="29" t="s">
        <v>2128</v>
      </c>
      <c r="E88" s="24" t="s">
        <v>1454</v>
      </c>
      <c r="F88" s="24" t="s">
        <v>1209</v>
      </c>
      <c r="G88" s="29" t="s">
        <v>2252</v>
      </c>
      <c r="H88" s="24">
        <v>0</v>
      </c>
      <c r="I88" s="24">
        <v>0</v>
      </c>
      <c r="J88" s="24" t="s">
        <v>539</v>
      </c>
      <c r="K88" s="24">
        <v>0</v>
      </c>
      <c r="L88" s="24" t="s">
        <v>2253</v>
      </c>
    </row>
    <row r="89" spans="1:12" ht="25.15" customHeight="1" x14ac:dyDescent="0.25">
      <c r="A89" s="29" t="s">
        <v>604</v>
      </c>
      <c r="B89" s="29" t="s">
        <v>1945</v>
      </c>
      <c r="C89" s="29" t="s">
        <v>1411</v>
      </c>
      <c r="D89" s="29" t="s">
        <v>2126</v>
      </c>
      <c r="E89" s="31">
        <v>45181</v>
      </c>
      <c r="F89" s="24" t="s">
        <v>1207</v>
      </c>
      <c r="G89" s="29" t="s">
        <v>2254</v>
      </c>
      <c r="H89" s="24">
        <v>0</v>
      </c>
      <c r="I89" s="24">
        <v>0</v>
      </c>
      <c r="J89" s="24" t="s">
        <v>539</v>
      </c>
      <c r="K89" s="24">
        <v>0</v>
      </c>
      <c r="L89" s="24" t="s">
        <v>2255</v>
      </c>
    </row>
    <row r="90" spans="1:12" ht="25.15" customHeight="1" x14ac:dyDescent="0.25">
      <c r="A90" s="29" t="s">
        <v>268</v>
      </c>
      <c r="B90" s="29" t="s">
        <v>1234</v>
      </c>
      <c r="C90" s="29" t="s">
        <v>1235</v>
      </c>
      <c r="D90" s="29" t="s">
        <v>2126</v>
      </c>
      <c r="E90" s="24" t="s">
        <v>2154</v>
      </c>
      <c r="F90" s="24" t="s">
        <v>1209</v>
      </c>
      <c r="G90" s="29" t="s">
        <v>2256</v>
      </c>
      <c r="H90" s="24">
        <v>0</v>
      </c>
      <c r="I90" s="24">
        <v>0</v>
      </c>
      <c r="J90" s="24" t="s">
        <v>539</v>
      </c>
      <c r="K90" s="24">
        <v>0</v>
      </c>
      <c r="L90" s="24" t="s">
        <v>539</v>
      </c>
    </row>
    <row r="91" spans="1:12" ht="25.15" customHeight="1" x14ac:dyDescent="0.25">
      <c r="A91" s="29" t="s">
        <v>2096</v>
      </c>
      <c r="B91" s="29" t="s">
        <v>2119</v>
      </c>
      <c r="C91" s="29" t="s">
        <v>1396</v>
      </c>
      <c r="D91" s="29" t="s">
        <v>2128</v>
      </c>
      <c r="E91" s="24" t="s">
        <v>2144</v>
      </c>
      <c r="F91" s="24" t="s">
        <v>1209</v>
      </c>
      <c r="G91" s="29" t="s">
        <v>2257</v>
      </c>
      <c r="H91" s="24">
        <v>2</v>
      </c>
      <c r="I91" s="24">
        <v>0</v>
      </c>
      <c r="J91" s="24" t="s">
        <v>539</v>
      </c>
      <c r="K91" s="24">
        <v>0</v>
      </c>
      <c r="L91" s="24" t="s">
        <v>539</v>
      </c>
    </row>
    <row r="92" spans="1:12" ht="25.15" customHeight="1" x14ac:dyDescent="0.25">
      <c r="A92" s="29" t="s">
        <v>594</v>
      </c>
      <c r="B92" s="29" t="s">
        <v>1941</v>
      </c>
      <c r="C92" s="29" t="s">
        <v>1342</v>
      </c>
      <c r="D92" s="29" t="s">
        <v>2132</v>
      </c>
      <c r="E92" s="31">
        <v>45343</v>
      </c>
      <c r="F92" s="24" t="s">
        <v>1207</v>
      </c>
      <c r="G92" s="29" t="s">
        <v>2258</v>
      </c>
      <c r="H92" s="24">
        <v>4</v>
      </c>
      <c r="I92" s="24">
        <v>0</v>
      </c>
      <c r="J92" s="24" t="s">
        <v>539</v>
      </c>
      <c r="K92" s="24">
        <v>0</v>
      </c>
      <c r="L92" s="24" t="s">
        <v>2174</v>
      </c>
    </row>
    <row r="93" spans="1:12" ht="25.15" customHeight="1" x14ac:dyDescent="0.25">
      <c r="A93" s="29" t="s">
        <v>411</v>
      </c>
      <c r="B93" s="29" t="s">
        <v>2120</v>
      </c>
      <c r="C93" s="29" t="s">
        <v>1206</v>
      </c>
      <c r="D93" s="29" t="s">
        <v>2122</v>
      </c>
      <c r="E93" s="24" t="s">
        <v>2152</v>
      </c>
      <c r="F93" s="24" t="s">
        <v>1209</v>
      </c>
      <c r="G93" s="29" t="s">
        <v>2259</v>
      </c>
      <c r="H93" s="24" t="s">
        <v>2260</v>
      </c>
      <c r="I93" s="24" t="s">
        <v>2205</v>
      </c>
      <c r="J93" s="24" t="s">
        <v>2206</v>
      </c>
      <c r="K93" s="24" t="s">
        <v>2205</v>
      </c>
      <c r="L93" s="24" t="s">
        <v>2228</v>
      </c>
    </row>
    <row r="94" spans="1:12" ht="25.15" customHeight="1" x14ac:dyDescent="0.25">
      <c r="A94" s="29" t="s">
        <v>168</v>
      </c>
      <c r="B94" s="29" t="s">
        <v>1210</v>
      </c>
      <c r="D94" s="29" t="s">
        <v>2125</v>
      </c>
      <c r="E94" s="24"/>
    </row>
    <row r="95" spans="1:12" ht="25.15" customHeight="1" x14ac:dyDescent="0.25">
      <c r="A95" s="29" t="s">
        <v>59</v>
      </c>
      <c r="B95" s="29" t="s">
        <v>1208</v>
      </c>
      <c r="D95" s="29" t="s">
        <v>2133</v>
      </c>
      <c r="E95" s="24"/>
    </row>
    <row r="96" spans="1:12" ht="25.15" customHeight="1" x14ac:dyDescent="0.25">
      <c r="A96" s="29" t="s">
        <v>418</v>
      </c>
      <c r="B96" s="29" t="s">
        <v>1229</v>
      </c>
      <c r="D96" s="29" t="s">
        <v>2127</v>
      </c>
      <c r="E96" s="24"/>
    </row>
    <row r="97" spans="1:12" ht="25.15" customHeight="1" x14ac:dyDescent="0.25">
      <c r="A97" s="29" t="s">
        <v>61</v>
      </c>
      <c r="B97" s="29" t="s">
        <v>1231</v>
      </c>
      <c r="D97" s="29" t="s">
        <v>2133</v>
      </c>
      <c r="E97" s="24"/>
    </row>
    <row r="98" spans="1:12" ht="25.15" customHeight="1" x14ac:dyDescent="0.25">
      <c r="A98" s="29" t="s">
        <v>401</v>
      </c>
      <c r="B98" s="29" t="s">
        <v>1248</v>
      </c>
      <c r="D98" s="29" t="s">
        <v>2130</v>
      </c>
      <c r="E98" s="24"/>
    </row>
    <row r="99" spans="1:12" ht="25.15" customHeight="1" x14ac:dyDescent="0.25">
      <c r="A99" s="29" t="s">
        <v>327</v>
      </c>
      <c r="B99" s="29" t="s">
        <v>1252</v>
      </c>
      <c r="D99" s="29" t="s">
        <v>2122</v>
      </c>
      <c r="E99" s="24"/>
    </row>
    <row r="100" spans="1:12" ht="25.15" customHeight="1" x14ac:dyDescent="0.25">
      <c r="A100" s="29" t="s">
        <v>11</v>
      </c>
      <c r="B100" s="29" t="s">
        <v>1271</v>
      </c>
      <c r="D100" s="29" t="s">
        <v>2123</v>
      </c>
      <c r="E100" s="24"/>
    </row>
    <row r="101" spans="1:12" ht="25.15" customHeight="1" x14ac:dyDescent="0.25">
      <c r="A101" s="29" t="s">
        <v>311</v>
      </c>
      <c r="B101" s="29" t="s">
        <v>1282</v>
      </c>
      <c r="D101" s="29" t="s">
        <v>2123</v>
      </c>
      <c r="E101" s="24"/>
    </row>
    <row r="102" spans="1:12" ht="25.15" customHeight="1" x14ac:dyDescent="0.25">
      <c r="A102" s="29" t="s">
        <v>254</v>
      </c>
      <c r="B102" s="29" t="s">
        <v>1291</v>
      </c>
      <c r="D102" s="29" t="s">
        <v>2130</v>
      </c>
      <c r="E102" s="24"/>
    </row>
    <row r="103" spans="1:12" ht="25.15" customHeight="1" x14ac:dyDescent="0.25">
      <c r="A103" s="29" t="s">
        <v>326</v>
      </c>
      <c r="B103" s="29" t="s">
        <v>1293</v>
      </c>
      <c r="D103" s="29" t="s">
        <v>1186</v>
      </c>
      <c r="E103" s="24"/>
    </row>
    <row r="104" spans="1:12" ht="25.15" customHeight="1" x14ac:dyDescent="0.25">
      <c r="A104" s="29" t="s">
        <v>73</v>
      </c>
      <c r="B104" s="29" t="s">
        <v>1299</v>
      </c>
      <c r="D104" s="29" t="s">
        <v>1186</v>
      </c>
      <c r="E104" s="24"/>
    </row>
    <row r="105" spans="1:12" ht="25.15" customHeight="1" x14ac:dyDescent="0.25">
      <c r="A105" s="29" t="s">
        <v>118</v>
      </c>
      <c r="B105" s="29" t="s">
        <v>2282</v>
      </c>
      <c r="C105" s="29" t="s">
        <v>1244</v>
      </c>
      <c r="D105" s="29" t="s">
        <v>1186</v>
      </c>
      <c r="E105" s="24" t="s">
        <v>2283</v>
      </c>
      <c r="F105" s="24" t="s">
        <v>2059</v>
      </c>
      <c r="G105" s="29" t="s">
        <v>2284</v>
      </c>
      <c r="H105" s="24">
        <v>2</v>
      </c>
      <c r="I105" s="24">
        <v>0</v>
      </c>
      <c r="J105" s="24" t="s">
        <v>539</v>
      </c>
      <c r="K105" s="24">
        <v>0</v>
      </c>
      <c r="L105" s="24" t="s">
        <v>2174</v>
      </c>
    </row>
    <row r="106" spans="1:12" ht="25.15" customHeight="1" x14ac:dyDescent="0.25">
      <c r="A106" s="29" t="s">
        <v>104</v>
      </c>
      <c r="B106" s="29" t="s">
        <v>1312</v>
      </c>
      <c r="D106" s="29" t="s">
        <v>2130</v>
      </c>
      <c r="E106" s="24" t="s">
        <v>1313</v>
      </c>
      <c r="G106" s="29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</row>
    <row r="107" spans="1:12" ht="25.15" customHeight="1" x14ac:dyDescent="0.25">
      <c r="A107" s="29" t="s">
        <v>274</v>
      </c>
      <c r="B107" s="29" t="s">
        <v>1318</v>
      </c>
      <c r="D107" s="29" t="s">
        <v>2123</v>
      </c>
      <c r="E107" s="24"/>
    </row>
    <row r="108" spans="1:12" ht="25.15" customHeight="1" x14ac:dyDescent="0.25">
      <c r="A108" s="29" t="s">
        <v>249</v>
      </c>
      <c r="B108" s="29" t="s">
        <v>1322</v>
      </c>
      <c r="D108" s="29" t="s">
        <v>2130</v>
      </c>
      <c r="E108" s="24"/>
    </row>
    <row r="109" spans="1:12" ht="25.15" customHeight="1" x14ac:dyDescent="0.25">
      <c r="A109" s="29" t="s">
        <v>248</v>
      </c>
      <c r="B109" s="29" t="s">
        <v>1324</v>
      </c>
      <c r="D109" s="29" t="s">
        <v>2130</v>
      </c>
      <c r="E109" s="24"/>
    </row>
    <row r="110" spans="1:12" ht="25.15" customHeight="1" x14ac:dyDescent="0.25">
      <c r="A110" s="29" t="s">
        <v>586</v>
      </c>
      <c r="B110" s="29" t="s">
        <v>1495</v>
      </c>
      <c r="D110" s="29" t="s">
        <v>2131</v>
      </c>
      <c r="E110" s="24"/>
    </row>
    <row r="111" spans="1:12" ht="25.15" customHeight="1" x14ac:dyDescent="0.25">
      <c r="A111" s="29" t="s">
        <v>576</v>
      </c>
      <c r="B111" s="29" t="s">
        <v>1501</v>
      </c>
      <c r="D111" s="29" t="s">
        <v>2132</v>
      </c>
      <c r="E111" s="31">
        <v>45345</v>
      </c>
      <c r="F111" s="24" t="s">
        <v>1207</v>
      </c>
    </row>
    <row r="112" spans="1:12" ht="25.15" customHeight="1" x14ac:dyDescent="0.25">
      <c r="A112" s="29" t="s">
        <v>585</v>
      </c>
      <c r="B112" s="29" t="s">
        <v>1504</v>
      </c>
      <c r="D112" s="29" t="s">
        <v>2123</v>
      </c>
      <c r="E112" s="24" t="s">
        <v>2155</v>
      </c>
      <c r="F112" s="24" t="s">
        <v>1209</v>
      </c>
      <c r="G112" s="29" t="s">
        <v>2261</v>
      </c>
      <c r="H112" s="24">
        <v>0</v>
      </c>
      <c r="I112" s="24">
        <v>0</v>
      </c>
      <c r="J112" s="24" t="s">
        <v>539</v>
      </c>
      <c r="K112" s="24">
        <v>0</v>
      </c>
      <c r="L112" s="24" t="s">
        <v>2251</v>
      </c>
    </row>
    <row r="113" spans="1:12" ht="25.15" customHeight="1" x14ac:dyDescent="0.25">
      <c r="A113" s="29" t="s">
        <v>574</v>
      </c>
      <c r="B113" s="29" t="s">
        <v>1512</v>
      </c>
      <c r="D113" s="29" t="s">
        <v>2057</v>
      </c>
      <c r="E113" s="24"/>
    </row>
    <row r="114" spans="1:12" ht="25.15" customHeight="1" x14ac:dyDescent="0.25">
      <c r="A114" s="29" t="s">
        <v>350</v>
      </c>
      <c r="B114" s="29" t="s">
        <v>1527</v>
      </c>
      <c r="D114" s="29" t="s">
        <v>2122</v>
      </c>
      <c r="E114" s="24"/>
    </row>
    <row r="115" spans="1:12" ht="25.15" customHeight="1" x14ac:dyDescent="0.25">
      <c r="A115" s="29" t="s">
        <v>351</v>
      </c>
      <c r="B115" s="29" t="s">
        <v>1529</v>
      </c>
      <c r="D115" s="29" t="s">
        <v>2122</v>
      </c>
      <c r="E115" s="24"/>
    </row>
    <row r="116" spans="1:12" ht="25.15" customHeight="1" x14ac:dyDescent="0.25">
      <c r="A116" s="29" t="s">
        <v>307</v>
      </c>
      <c r="B116" s="29" t="s">
        <v>1327</v>
      </c>
      <c r="C116" s="29" t="s">
        <v>1328</v>
      </c>
      <c r="D116" s="29" t="s">
        <v>1186</v>
      </c>
      <c r="E116" s="24" t="s">
        <v>2301</v>
      </c>
      <c r="F116" s="24" t="s">
        <v>2059</v>
      </c>
      <c r="G116" s="29" t="s">
        <v>2302</v>
      </c>
      <c r="H116" s="24">
        <v>1</v>
      </c>
      <c r="I116" s="24">
        <v>0</v>
      </c>
      <c r="J116" s="24" t="s">
        <v>539</v>
      </c>
      <c r="K116" s="24">
        <v>0</v>
      </c>
      <c r="L116" s="24" t="s">
        <v>2303</v>
      </c>
    </row>
    <row r="117" spans="1:12" ht="25.15" customHeight="1" x14ac:dyDescent="0.25">
      <c r="A117" s="29" t="s">
        <v>88</v>
      </c>
      <c r="B117" s="29" t="s">
        <v>1561</v>
      </c>
      <c r="D117" s="29" t="s">
        <v>2133</v>
      </c>
      <c r="E117" s="24"/>
    </row>
    <row r="118" spans="1:12" ht="25.15" customHeight="1" x14ac:dyDescent="0.25">
      <c r="A118" s="29" t="s">
        <v>312</v>
      </c>
      <c r="B118" s="29" t="s">
        <v>1562</v>
      </c>
      <c r="D118" s="29" t="s">
        <v>2122</v>
      </c>
      <c r="E118" s="24"/>
    </row>
    <row r="119" spans="1:12" ht="25.15" customHeight="1" x14ac:dyDescent="0.25">
      <c r="A119" s="29" t="s">
        <v>424</v>
      </c>
      <c r="B119" s="29" t="s">
        <v>1571</v>
      </c>
      <c r="D119" s="29" t="s">
        <v>2133</v>
      </c>
      <c r="E119" s="24"/>
    </row>
    <row r="120" spans="1:12" ht="25.15" customHeight="1" x14ac:dyDescent="0.25">
      <c r="A120" s="29" t="s">
        <v>232</v>
      </c>
      <c r="B120" s="29" t="s">
        <v>1573</v>
      </c>
      <c r="D120" s="29" t="s">
        <v>2133</v>
      </c>
      <c r="E120" s="24"/>
    </row>
    <row r="121" spans="1:12" ht="25.15" customHeight="1" x14ac:dyDescent="0.25">
      <c r="A121" s="29" t="s">
        <v>81</v>
      </c>
      <c r="B121" s="29" t="s">
        <v>1577</v>
      </c>
      <c r="D121" s="29" t="s">
        <v>2133</v>
      </c>
      <c r="E121" s="24"/>
    </row>
    <row r="122" spans="1:12" ht="25.15" customHeight="1" x14ac:dyDescent="0.25">
      <c r="A122" s="29" t="s">
        <v>463</v>
      </c>
      <c r="B122" s="29" t="s">
        <v>1580</v>
      </c>
      <c r="D122" s="29" t="s">
        <v>2129</v>
      </c>
      <c r="E122" s="24"/>
    </row>
    <row r="123" spans="1:12" ht="25.15" customHeight="1" x14ac:dyDescent="0.25">
      <c r="A123" s="29" t="s">
        <v>138</v>
      </c>
      <c r="B123" s="29" t="s">
        <v>1588</v>
      </c>
      <c r="D123" s="29" t="s">
        <v>2133</v>
      </c>
      <c r="E123" s="24"/>
    </row>
    <row r="124" spans="1:12" ht="25.15" customHeight="1" x14ac:dyDescent="0.25">
      <c r="A124" s="29" t="s">
        <v>62</v>
      </c>
      <c r="B124" s="29" t="s">
        <v>1611</v>
      </c>
      <c r="D124" s="29" t="s">
        <v>2133</v>
      </c>
      <c r="E124" s="24"/>
    </row>
    <row r="125" spans="1:12" ht="25.15" customHeight="1" x14ac:dyDescent="0.25">
      <c r="A125" s="29" t="s">
        <v>48</v>
      </c>
      <c r="B125" s="29" t="s">
        <v>1620</v>
      </c>
      <c r="D125" s="29" t="s">
        <v>2133</v>
      </c>
      <c r="E125" s="24"/>
    </row>
    <row r="126" spans="1:12" ht="25.15" customHeight="1" x14ac:dyDescent="0.25">
      <c r="A126" s="29" t="s">
        <v>423</v>
      </c>
      <c r="B126" s="29" t="s">
        <v>1208</v>
      </c>
      <c r="D126" s="29" t="s">
        <v>1186</v>
      </c>
      <c r="E126" s="24"/>
    </row>
    <row r="127" spans="1:12" ht="25.15" customHeight="1" x14ac:dyDescent="0.25">
      <c r="A127" s="29" t="s">
        <v>210</v>
      </c>
      <c r="B127" s="29" t="s">
        <v>1637</v>
      </c>
      <c r="D127" s="29" t="s">
        <v>2123</v>
      </c>
      <c r="E127" s="24"/>
    </row>
    <row r="128" spans="1:12" ht="25.15" customHeight="1" x14ac:dyDescent="0.25">
      <c r="A128" s="29" t="s">
        <v>206</v>
      </c>
      <c r="B128" s="29" t="s">
        <v>1639</v>
      </c>
      <c r="D128" s="29" t="s">
        <v>2122</v>
      </c>
      <c r="E128" s="24"/>
    </row>
    <row r="129" spans="1:5" ht="25.15" customHeight="1" x14ac:dyDescent="0.25">
      <c r="A129" s="29" t="s">
        <v>325</v>
      </c>
      <c r="B129" s="29" t="s">
        <v>1641</v>
      </c>
      <c r="E129" s="24"/>
    </row>
    <row r="130" spans="1:5" ht="25.15" customHeight="1" x14ac:dyDescent="0.25">
      <c r="A130" s="29" t="s">
        <v>177</v>
      </c>
      <c r="B130" s="29" t="s">
        <v>1663</v>
      </c>
      <c r="D130" s="29" t="s">
        <v>2126</v>
      </c>
      <c r="E130" s="24"/>
    </row>
    <row r="131" spans="1:5" ht="25.15" customHeight="1" x14ac:dyDescent="0.25">
      <c r="A131" s="29" t="s">
        <v>395</v>
      </c>
      <c r="B131" s="29" t="s">
        <v>1668</v>
      </c>
      <c r="D131" s="29" t="s">
        <v>2123</v>
      </c>
      <c r="E131" s="24"/>
    </row>
    <row r="132" spans="1:5" ht="25.15" customHeight="1" x14ac:dyDescent="0.25">
      <c r="A132" s="29" t="s">
        <v>389</v>
      </c>
      <c r="B132" s="29" t="s">
        <v>1692</v>
      </c>
      <c r="D132" s="29" t="s">
        <v>2130</v>
      </c>
      <c r="E132" s="24"/>
    </row>
    <row r="133" spans="1:5" ht="25.15" customHeight="1" x14ac:dyDescent="0.25">
      <c r="A133" s="29" t="s">
        <v>405</v>
      </c>
      <c r="B133" s="29" t="s">
        <v>1695</v>
      </c>
      <c r="D133" s="29" t="s">
        <v>1186</v>
      </c>
      <c r="E133" s="24"/>
    </row>
    <row r="134" spans="1:5" ht="25.15" customHeight="1" x14ac:dyDescent="0.25">
      <c r="A134" s="29" t="s">
        <v>156</v>
      </c>
      <c r="B134" s="29" t="s">
        <v>1208</v>
      </c>
      <c r="D134" s="29" t="s">
        <v>1186</v>
      </c>
      <c r="E134" s="24"/>
    </row>
    <row r="135" spans="1:5" ht="25.15" customHeight="1" x14ac:dyDescent="0.25">
      <c r="A135" s="29" t="s">
        <v>377</v>
      </c>
      <c r="B135" s="29" t="s">
        <v>1698</v>
      </c>
      <c r="D135" s="29" t="s">
        <v>2130</v>
      </c>
      <c r="E135" s="24"/>
    </row>
    <row r="136" spans="1:5" ht="25.15" customHeight="1" x14ac:dyDescent="0.25">
      <c r="A136" s="29" t="s">
        <v>129</v>
      </c>
      <c r="B136" s="29" t="s">
        <v>1208</v>
      </c>
      <c r="D136" s="29" t="s">
        <v>2133</v>
      </c>
      <c r="E136" s="24"/>
    </row>
    <row r="137" spans="1:5" ht="25.15" customHeight="1" x14ac:dyDescent="0.25">
      <c r="A137" s="29" t="s">
        <v>179</v>
      </c>
      <c r="B137" s="29" t="s">
        <v>1707</v>
      </c>
      <c r="D137" s="29" t="s">
        <v>2129</v>
      </c>
      <c r="E137" s="24"/>
    </row>
    <row r="138" spans="1:5" ht="25.15" customHeight="1" x14ac:dyDescent="0.25">
      <c r="A138" s="29" t="s">
        <v>107</v>
      </c>
      <c r="B138" s="29" t="s">
        <v>1719</v>
      </c>
      <c r="D138" s="29" t="s">
        <v>2130</v>
      </c>
      <c r="E138" s="24"/>
    </row>
    <row r="139" spans="1:5" ht="25.15" customHeight="1" x14ac:dyDescent="0.25">
      <c r="A139" s="29" t="s">
        <v>227</v>
      </c>
      <c r="B139" s="29" t="s">
        <v>1721</v>
      </c>
      <c r="D139" s="29" t="s">
        <v>2133</v>
      </c>
      <c r="E139" s="24"/>
    </row>
    <row r="140" spans="1:5" ht="25.15" customHeight="1" x14ac:dyDescent="0.25">
      <c r="A140" s="29" t="s">
        <v>122</v>
      </c>
      <c r="B140" s="29" t="s">
        <v>1724</v>
      </c>
      <c r="D140" s="29" t="s">
        <v>2129</v>
      </c>
      <c r="E140" s="24"/>
    </row>
    <row r="141" spans="1:5" ht="25.15" customHeight="1" x14ac:dyDescent="0.25">
      <c r="A141" s="29" t="s">
        <v>217</v>
      </c>
      <c r="B141" s="29" t="s">
        <v>1731</v>
      </c>
      <c r="D141" s="29" t="s">
        <v>2130</v>
      </c>
      <c r="E141" s="24"/>
    </row>
    <row r="142" spans="1:5" ht="25.15" customHeight="1" x14ac:dyDescent="0.25">
      <c r="A142" s="29" t="s">
        <v>450</v>
      </c>
      <c r="B142" s="29" t="s">
        <v>1737</v>
      </c>
      <c r="D142" s="29" t="s">
        <v>2130</v>
      </c>
      <c r="E142" s="24"/>
    </row>
    <row r="143" spans="1:5" ht="25.15" customHeight="1" x14ac:dyDescent="0.25">
      <c r="A143" s="29" t="s">
        <v>207</v>
      </c>
      <c r="B143" s="29" t="s">
        <v>1743</v>
      </c>
      <c r="D143" s="29" t="s">
        <v>2057</v>
      </c>
      <c r="E143" s="24"/>
    </row>
    <row r="144" spans="1:5" ht="25.15" customHeight="1" x14ac:dyDescent="0.25">
      <c r="A144" s="29" t="s">
        <v>174</v>
      </c>
      <c r="B144" s="29" t="s">
        <v>1745</v>
      </c>
      <c r="D144" s="29" t="s">
        <v>2130</v>
      </c>
      <c r="E144" s="24"/>
    </row>
    <row r="145" spans="1:12" ht="25.15" customHeight="1" x14ac:dyDescent="0.25">
      <c r="A145" s="29" t="s">
        <v>398</v>
      </c>
      <c r="B145" s="29" t="s">
        <v>1746</v>
      </c>
      <c r="D145" s="29" t="s">
        <v>2130</v>
      </c>
      <c r="E145" s="24"/>
    </row>
    <row r="146" spans="1:12" ht="25.15" customHeight="1" x14ac:dyDescent="0.25">
      <c r="A146" s="29" t="s">
        <v>189</v>
      </c>
      <c r="B146" s="29" t="s">
        <v>1753</v>
      </c>
      <c r="D146" s="29" t="s">
        <v>2130</v>
      </c>
      <c r="E146" s="24"/>
    </row>
    <row r="147" spans="1:12" ht="25.15" customHeight="1" x14ac:dyDescent="0.25">
      <c r="A147" s="29" t="s">
        <v>367</v>
      </c>
      <c r="B147" s="29" t="s">
        <v>1765</v>
      </c>
      <c r="D147" s="29" t="s">
        <v>1186</v>
      </c>
      <c r="E147" s="24"/>
    </row>
    <row r="148" spans="1:12" ht="25.15" customHeight="1" x14ac:dyDescent="0.25">
      <c r="A148" s="29" t="s">
        <v>373</v>
      </c>
      <c r="B148" s="29" t="s">
        <v>1776</v>
      </c>
      <c r="D148" s="29" t="s">
        <v>1186</v>
      </c>
      <c r="E148" s="24" t="s">
        <v>2156</v>
      </c>
      <c r="F148" s="24" t="s">
        <v>1209</v>
      </c>
      <c r="G148" s="29" t="s">
        <v>2262</v>
      </c>
      <c r="H148" s="24">
        <v>0</v>
      </c>
      <c r="I148" s="24">
        <v>0</v>
      </c>
      <c r="J148" s="24" t="s">
        <v>539</v>
      </c>
      <c r="K148" s="24">
        <v>0</v>
      </c>
      <c r="L148" s="24" t="s">
        <v>2170</v>
      </c>
    </row>
    <row r="149" spans="1:12" ht="25.15" customHeight="1" x14ac:dyDescent="0.25">
      <c r="A149" s="29" t="s">
        <v>399</v>
      </c>
      <c r="B149" s="29" t="s">
        <v>1779</v>
      </c>
      <c r="D149" s="29" t="s">
        <v>2130</v>
      </c>
      <c r="E149" s="24"/>
    </row>
    <row r="150" spans="1:12" ht="25.15" customHeight="1" x14ac:dyDescent="0.25">
      <c r="A150" s="29" t="s">
        <v>308</v>
      </c>
      <c r="B150" s="29" t="s">
        <v>1786</v>
      </c>
      <c r="D150" s="29" t="s">
        <v>2123</v>
      </c>
      <c r="E150" s="24"/>
    </row>
    <row r="151" spans="1:12" ht="25.15" customHeight="1" x14ac:dyDescent="0.25">
      <c r="A151" s="29" t="s">
        <v>208</v>
      </c>
      <c r="B151" s="29" t="s">
        <v>1791</v>
      </c>
      <c r="D151" s="29" t="s">
        <v>2124</v>
      </c>
      <c r="E151" s="24"/>
    </row>
    <row r="152" spans="1:12" ht="25.15" customHeight="1" x14ac:dyDescent="0.25">
      <c r="A152" s="29" t="s">
        <v>164</v>
      </c>
      <c r="B152" s="29" t="s">
        <v>1795</v>
      </c>
      <c r="D152" s="29" t="s">
        <v>2123</v>
      </c>
      <c r="E152" s="24"/>
    </row>
    <row r="153" spans="1:12" ht="25.15" customHeight="1" x14ac:dyDescent="0.25">
      <c r="A153" s="29" t="s">
        <v>242</v>
      </c>
      <c r="B153" s="29" t="s">
        <v>1797</v>
      </c>
      <c r="D153" s="29" t="s">
        <v>2123</v>
      </c>
      <c r="E153" s="24"/>
    </row>
    <row r="154" spans="1:12" ht="75" customHeight="1" x14ac:dyDescent="0.25">
      <c r="A154" s="28" t="s">
        <v>218</v>
      </c>
      <c r="B154" s="28" t="s">
        <v>1804</v>
      </c>
      <c r="C154" s="28" t="s">
        <v>1411</v>
      </c>
      <c r="D154" s="28" t="s">
        <v>2126</v>
      </c>
      <c r="E154" s="27" t="s">
        <v>2157</v>
      </c>
      <c r="F154" s="27" t="s">
        <v>2059</v>
      </c>
      <c r="G154" s="28" t="s">
        <v>2375</v>
      </c>
      <c r="H154" s="27" t="s">
        <v>2376</v>
      </c>
      <c r="I154" s="27" t="s">
        <v>2377</v>
      </c>
      <c r="J154" s="27" t="s">
        <v>2206</v>
      </c>
      <c r="K154" s="27" t="s">
        <v>2205</v>
      </c>
      <c r="L154" s="27" t="s">
        <v>2378</v>
      </c>
    </row>
    <row r="155" spans="1:12" ht="25.15" customHeight="1" x14ac:dyDescent="0.25">
      <c r="A155" s="29" t="s">
        <v>292</v>
      </c>
      <c r="B155" s="29" t="s">
        <v>2549</v>
      </c>
      <c r="C155" s="29" t="s">
        <v>1805</v>
      </c>
      <c r="D155" s="29" t="s">
        <v>2123</v>
      </c>
      <c r="E155" s="24" t="s">
        <v>2550</v>
      </c>
      <c r="F155" s="24" t="s">
        <v>1209</v>
      </c>
      <c r="G155" s="29" t="s">
        <v>539</v>
      </c>
      <c r="H155" s="24">
        <v>0</v>
      </c>
      <c r="I155" s="24" t="s">
        <v>2169</v>
      </c>
      <c r="J155" s="24" t="s">
        <v>539</v>
      </c>
      <c r="K155" s="24">
        <v>0</v>
      </c>
      <c r="L155" s="24" t="s">
        <v>2174</v>
      </c>
    </row>
    <row r="156" spans="1:12" ht="25.15" customHeight="1" x14ac:dyDescent="0.25">
      <c r="A156" s="29" t="s">
        <v>299</v>
      </c>
      <c r="B156" s="29" t="s">
        <v>1806</v>
      </c>
      <c r="D156" s="29" t="s">
        <v>2057</v>
      </c>
      <c r="E156" s="24"/>
    </row>
    <row r="157" spans="1:12" ht="25.15" customHeight="1" x14ac:dyDescent="0.25">
      <c r="A157" s="29" t="s">
        <v>466</v>
      </c>
      <c r="B157" s="29" t="s">
        <v>2539</v>
      </c>
      <c r="C157" s="29" t="s">
        <v>1810</v>
      </c>
      <c r="D157" s="29" t="s">
        <v>2123</v>
      </c>
      <c r="E157" s="24">
        <v>45225</v>
      </c>
      <c r="F157" s="24" t="s">
        <v>1209</v>
      </c>
      <c r="G157" s="29" t="s">
        <v>539</v>
      </c>
      <c r="H157" s="24">
        <v>0</v>
      </c>
      <c r="I157" s="24">
        <v>0</v>
      </c>
      <c r="J157" s="24" t="s">
        <v>539</v>
      </c>
      <c r="K157" s="24">
        <v>0</v>
      </c>
      <c r="L157" s="24" t="s">
        <v>539</v>
      </c>
    </row>
    <row r="158" spans="1:12" ht="25.15" customHeight="1" x14ac:dyDescent="0.25">
      <c r="A158" s="29" t="s">
        <v>146</v>
      </c>
      <c r="B158" s="29" t="s">
        <v>1812</v>
      </c>
      <c r="D158" s="29" t="s">
        <v>2123</v>
      </c>
      <c r="E158" s="24"/>
    </row>
    <row r="159" spans="1:12" ht="25.15" customHeight="1" x14ac:dyDescent="0.25">
      <c r="A159" s="29" t="s">
        <v>315</v>
      </c>
      <c r="B159" s="29" t="s">
        <v>1814</v>
      </c>
      <c r="D159" s="29" t="s">
        <v>2123</v>
      </c>
      <c r="E159" s="24"/>
    </row>
    <row r="160" spans="1:12" ht="25.15" customHeight="1" x14ac:dyDescent="0.25">
      <c r="A160" s="29" t="s">
        <v>305</v>
      </c>
      <c r="B160" s="29" t="s">
        <v>1817</v>
      </c>
      <c r="D160" s="29" t="s">
        <v>2123</v>
      </c>
      <c r="E160" s="24"/>
    </row>
    <row r="161" spans="1:12" ht="25.15" customHeight="1" x14ac:dyDescent="0.25">
      <c r="A161" s="29" t="s">
        <v>361</v>
      </c>
      <c r="B161" s="29" t="s">
        <v>1824</v>
      </c>
      <c r="D161" s="29" t="s">
        <v>2123</v>
      </c>
      <c r="E161" s="24"/>
    </row>
    <row r="162" spans="1:12" ht="25.15" customHeight="1" x14ac:dyDescent="0.25">
      <c r="A162" s="29" t="s">
        <v>314</v>
      </c>
      <c r="B162" s="29" t="s">
        <v>1826</v>
      </c>
      <c r="D162" s="29" t="s">
        <v>2123</v>
      </c>
      <c r="E162" s="24"/>
    </row>
    <row r="163" spans="1:12" ht="25.15" customHeight="1" x14ac:dyDescent="0.25">
      <c r="A163" s="29" t="s">
        <v>163</v>
      </c>
      <c r="B163" s="29" t="s">
        <v>1830</v>
      </c>
      <c r="D163" s="29" t="s">
        <v>2123</v>
      </c>
      <c r="E163" s="24"/>
    </row>
    <row r="164" spans="1:12" ht="25.15" customHeight="1" x14ac:dyDescent="0.25">
      <c r="A164" s="29" t="s">
        <v>205</v>
      </c>
      <c r="B164" s="29" t="s">
        <v>1841</v>
      </c>
      <c r="D164" s="29" t="s">
        <v>2123</v>
      </c>
      <c r="E164" s="24"/>
    </row>
    <row r="165" spans="1:12" ht="25.15" customHeight="1" x14ac:dyDescent="0.25">
      <c r="A165" s="29" t="s">
        <v>276</v>
      </c>
      <c r="B165" s="29" t="s">
        <v>1860</v>
      </c>
      <c r="D165" s="29" t="s">
        <v>2057</v>
      </c>
      <c r="E165" s="24"/>
    </row>
    <row r="166" spans="1:12" ht="25.15" customHeight="1" x14ac:dyDescent="0.25">
      <c r="A166" s="29" t="s">
        <v>263</v>
      </c>
      <c r="B166" s="29" t="s">
        <v>1867</v>
      </c>
      <c r="D166" s="29" t="s">
        <v>2057</v>
      </c>
      <c r="E166" s="24"/>
    </row>
    <row r="167" spans="1:12" ht="25.15" customHeight="1" x14ac:dyDescent="0.25">
      <c r="A167" s="29" t="s">
        <v>365</v>
      </c>
      <c r="B167" s="29" t="s">
        <v>1869</v>
      </c>
      <c r="D167" s="29" t="s">
        <v>2124</v>
      </c>
      <c r="E167" s="24"/>
    </row>
    <row r="168" spans="1:12" ht="25.15" customHeight="1" x14ac:dyDescent="0.25">
      <c r="A168" s="29" t="s">
        <v>285</v>
      </c>
      <c r="B168" s="29" t="s">
        <v>1884</v>
      </c>
      <c r="D168" s="29" t="s">
        <v>2057</v>
      </c>
      <c r="E168" s="24"/>
    </row>
    <row r="169" spans="1:12" ht="25.15" customHeight="1" x14ac:dyDescent="0.25">
      <c r="A169" s="29" t="s">
        <v>457</v>
      </c>
      <c r="B169" s="29" t="s">
        <v>1892</v>
      </c>
      <c r="D169" s="29" t="s">
        <v>2122</v>
      </c>
      <c r="E169" s="24"/>
    </row>
    <row r="170" spans="1:12" ht="25.15" customHeight="1" x14ac:dyDescent="0.25">
      <c r="A170" s="29" t="s">
        <v>282</v>
      </c>
      <c r="B170" s="29" t="s">
        <v>1893</v>
      </c>
      <c r="D170" s="29" t="s">
        <v>2057</v>
      </c>
      <c r="E170" s="24"/>
    </row>
    <row r="171" spans="1:12" ht="25.15" customHeight="1" x14ac:dyDescent="0.25">
      <c r="A171" s="29" t="s">
        <v>51</v>
      </c>
      <c r="B171" s="29" t="s">
        <v>1894</v>
      </c>
      <c r="D171" s="29" t="s">
        <v>2133</v>
      </c>
      <c r="E171" s="24"/>
    </row>
    <row r="172" spans="1:12" ht="25.15" customHeight="1" x14ac:dyDescent="0.25">
      <c r="A172" s="29" t="s">
        <v>289</v>
      </c>
      <c r="B172" s="29" t="s">
        <v>1896</v>
      </c>
      <c r="D172" s="29" t="s">
        <v>2122</v>
      </c>
      <c r="E172" s="24" t="s">
        <v>2158</v>
      </c>
      <c r="F172" s="24" t="s">
        <v>1209</v>
      </c>
      <c r="G172" s="29" t="s">
        <v>2263</v>
      </c>
      <c r="H172" s="24" t="s">
        <v>2264</v>
      </c>
      <c r="I172" s="24" t="s">
        <v>2062</v>
      </c>
      <c r="J172" s="24" t="s">
        <v>2063</v>
      </c>
      <c r="K172" s="24" t="s">
        <v>2062</v>
      </c>
      <c r="L172" s="24" t="s">
        <v>2265</v>
      </c>
    </row>
    <row r="173" spans="1:12" ht="25.15" customHeight="1" x14ac:dyDescent="0.25">
      <c r="A173" s="29" t="s">
        <v>42</v>
      </c>
      <c r="B173" s="29" t="s">
        <v>1208</v>
      </c>
      <c r="D173" s="29" t="s">
        <v>2133</v>
      </c>
      <c r="E173" s="24"/>
    </row>
    <row r="174" spans="1:12" ht="25.15" customHeight="1" x14ac:dyDescent="0.25">
      <c r="A174" s="29" t="s">
        <v>359</v>
      </c>
      <c r="B174" s="29" t="s">
        <v>1208</v>
      </c>
      <c r="D174" s="29" t="s">
        <v>2125</v>
      </c>
      <c r="E174" s="24"/>
    </row>
    <row r="175" spans="1:12" ht="25.15" customHeight="1" x14ac:dyDescent="0.25">
      <c r="A175" s="29" t="s">
        <v>194</v>
      </c>
      <c r="B175" s="29" t="s">
        <v>1924</v>
      </c>
      <c r="C175" s="29" t="s">
        <v>1264</v>
      </c>
      <c r="D175" s="29" t="s">
        <v>1186</v>
      </c>
      <c r="E175" s="24" t="s">
        <v>2567</v>
      </c>
      <c r="F175" s="24" t="s">
        <v>2059</v>
      </c>
      <c r="G175" s="29" t="s">
        <v>2568</v>
      </c>
      <c r="H175" s="24" t="s">
        <v>2569</v>
      </c>
      <c r="I175" s="24" t="s">
        <v>2062</v>
      </c>
      <c r="J175" s="24" t="s">
        <v>2063</v>
      </c>
      <c r="K175" s="24" t="s">
        <v>2062</v>
      </c>
      <c r="L175" s="24" t="s">
        <v>2570</v>
      </c>
    </row>
    <row r="176" spans="1:12" ht="25.15" customHeight="1" x14ac:dyDescent="0.25">
      <c r="A176" s="29" t="s">
        <v>400</v>
      </c>
      <c r="B176" s="29" t="s">
        <v>1925</v>
      </c>
      <c r="D176" s="29" t="s">
        <v>2130</v>
      </c>
      <c r="E176" s="24"/>
    </row>
    <row r="177" spans="1:12" ht="25.15" customHeight="1" x14ac:dyDescent="0.25">
      <c r="A177" s="29" t="s">
        <v>45</v>
      </c>
      <c r="B177" s="29" t="s">
        <v>1926</v>
      </c>
      <c r="D177" s="29" t="s">
        <v>1186</v>
      </c>
      <c r="E177" s="31">
        <v>45426</v>
      </c>
      <c r="F177" s="24" t="s">
        <v>1487</v>
      </c>
      <c r="G177" s="29" t="s">
        <v>2266</v>
      </c>
      <c r="H177" s="24">
        <v>0</v>
      </c>
      <c r="I177" s="24">
        <v>0</v>
      </c>
      <c r="J177" s="24" t="s">
        <v>539</v>
      </c>
      <c r="K177" s="24">
        <v>0</v>
      </c>
      <c r="L177" s="24" t="s">
        <v>2246</v>
      </c>
    </row>
    <row r="178" spans="1:12" ht="25.15" customHeight="1" x14ac:dyDescent="0.25">
      <c r="A178" s="29" t="s">
        <v>109</v>
      </c>
      <c r="B178" s="29" t="s">
        <v>1208</v>
      </c>
      <c r="D178" s="29" t="s">
        <v>2130</v>
      </c>
      <c r="E178" s="24"/>
    </row>
    <row r="179" spans="1:12" ht="25.15" customHeight="1" x14ac:dyDescent="0.25">
      <c r="A179" s="29" t="s">
        <v>95</v>
      </c>
      <c r="B179" s="29" t="s">
        <v>1208</v>
      </c>
      <c r="D179" s="29" t="s">
        <v>2130</v>
      </c>
      <c r="E179" s="24"/>
    </row>
    <row r="180" spans="1:12" ht="25.15" customHeight="1" x14ac:dyDescent="0.25">
      <c r="A180" s="29" t="s">
        <v>198</v>
      </c>
      <c r="B180" s="29" t="s">
        <v>1929</v>
      </c>
      <c r="D180" s="29" t="s">
        <v>2130</v>
      </c>
      <c r="E180" s="24"/>
    </row>
    <row r="181" spans="1:12" ht="25.15" customHeight="1" x14ac:dyDescent="0.25">
      <c r="A181" s="29" t="s">
        <v>439</v>
      </c>
      <c r="B181" s="29" t="s">
        <v>1931</v>
      </c>
      <c r="D181" s="29" t="s">
        <v>2057</v>
      </c>
      <c r="E181" s="24"/>
    </row>
    <row r="182" spans="1:12" ht="25.15" customHeight="1" x14ac:dyDescent="0.25">
      <c r="A182" s="29" t="s">
        <v>110</v>
      </c>
      <c r="B182" s="29" t="s">
        <v>1208</v>
      </c>
      <c r="D182" s="29" t="s">
        <v>2130</v>
      </c>
      <c r="E182" s="24"/>
    </row>
    <row r="183" spans="1:12" ht="25.15" customHeight="1" x14ac:dyDescent="0.25">
      <c r="A183" s="29" t="s">
        <v>448</v>
      </c>
      <c r="B183" s="29" t="s">
        <v>1215</v>
      </c>
      <c r="D183" s="29" t="s">
        <v>2122</v>
      </c>
      <c r="E183" s="24"/>
    </row>
    <row r="184" spans="1:12" ht="25.15" customHeight="1" x14ac:dyDescent="0.25">
      <c r="A184" s="29" t="s">
        <v>340</v>
      </c>
      <c r="B184" s="29" t="s">
        <v>1217</v>
      </c>
      <c r="D184" s="29" t="s">
        <v>2126</v>
      </c>
      <c r="E184" s="24"/>
    </row>
    <row r="185" spans="1:12" ht="25.15" customHeight="1" x14ac:dyDescent="0.25">
      <c r="A185" s="29" t="s">
        <v>322</v>
      </c>
      <c r="B185" s="29" t="s">
        <v>1219</v>
      </c>
      <c r="D185" s="29" t="s">
        <v>2133</v>
      </c>
      <c r="E185" s="24"/>
    </row>
    <row r="186" spans="1:12" ht="25.15" customHeight="1" x14ac:dyDescent="0.25">
      <c r="A186" s="29" t="s">
        <v>281</v>
      </c>
      <c r="B186" s="29" t="s">
        <v>1223</v>
      </c>
      <c r="D186" s="29" t="s">
        <v>2057</v>
      </c>
      <c r="E186" s="24"/>
    </row>
    <row r="187" spans="1:12" ht="25.15" customHeight="1" x14ac:dyDescent="0.25">
      <c r="A187" s="29" t="s">
        <v>416</v>
      </c>
      <c r="B187" s="29" t="s">
        <v>1227</v>
      </c>
      <c r="D187" s="29" t="s">
        <v>2127</v>
      </c>
      <c r="E187" s="24" t="s">
        <v>2159</v>
      </c>
      <c r="F187" s="24" t="s">
        <v>1209</v>
      </c>
      <c r="G187" s="29" t="s">
        <v>2267</v>
      </c>
      <c r="H187" s="24" t="s">
        <v>2268</v>
      </c>
      <c r="I187" s="24">
        <v>0</v>
      </c>
      <c r="J187" s="24" t="s">
        <v>539</v>
      </c>
      <c r="K187" s="24">
        <v>0</v>
      </c>
      <c r="L187" s="24" t="s">
        <v>2269</v>
      </c>
    </row>
    <row r="188" spans="1:12" ht="25.15" customHeight="1" x14ac:dyDescent="0.25">
      <c r="A188" s="29" t="s">
        <v>435</v>
      </c>
      <c r="B188" s="29" t="s">
        <v>1237</v>
      </c>
      <c r="D188" s="29" t="s">
        <v>2130</v>
      </c>
      <c r="E188" s="24"/>
    </row>
    <row r="189" spans="1:12" ht="25.15" customHeight="1" x14ac:dyDescent="0.25">
      <c r="A189" s="29" t="s">
        <v>119</v>
      </c>
      <c r="B189" s="29" t="s">
        <v>2292</v>
      </c>
      <c r="C189" s="29" t="s">
        <v>1244</v>
      </c>
      <c r="D189" s="29" t="s">
        <v>1186</v>
      </c>
      <c r="E189" s="24" t="s">
        <v>2293</v>
      </c>
      <c r="F189" s="24" t="s">
        <v>2059</v>
      </c>
      <c r="G189" s="29" t="s">
        <v>2294</v>
      </c>
      <c r="H189" s="24">
        <v>1</v>
      </c>
      <c r="I189" s="24">
        <v>0</v>
      </c>
      <c r="J189" s="24" t="s">
        <v>539</v>
      </c>
      <c r="K189" s="24">
        <v>0</v>
      </c>
      <c r="L189" s="24" t="s">
        <v>2174</v>
      </c>
    </row>
    <row r="190" spans="1:12" ht="25.15" customHeight="1" x14ac:dyDescent="0.25">
      <c r="A190" s="29" t="s">
        <v>290</v>
      </c>
      <c r="B190" s="29" t="s">
        <v>1247</v>
      </c>
      <c r="D190" s="29" t="s">
        <v>2125</v>
      </c>
      <c r="E190" s="24"/>
    </row>
    <row r="191" spans="1:12" ht="25.15" customHeight="1" x14ac:dyDescent="0.25">
      <c r="A191" s="29" t="s">
        <v>79</v>
      </c>
      <c r="B191" s="29" t="s">
        <v>1256</v>
      </c>
      <c r="D191" s="29" t="s">
        <v>2133</v>
      </c>
      <c r="E191" s="24"/>
    </row>
    <row r="192" spans="1:12" ht="25.15" customHeight="1" x14ac:dyDescent="0.25">
      <c r="A192" s="29" t="s">
        <v>284</v>
      </c>
      <c r="B192" s="29" t="s">
        <v>1265</v>
      </c>
      <c r="D192" s="29" t="s">
        <v>2057</v>
      </c>
      <c r="E192" s="24" t="s">
        <v>2160</v>
      </c>
      <c r="F192" s="24" t="s">
        <v>1209</v>
      </c>
      <c r="G192" s="29" t="s">
        <v>2270</v>
      </c>
      <c r="H192" s="24">
        <v>0</v>
      </c>
      <c r="I192" s="24">
        <v>0</v>
      </c>
      <c r="J192" s="24" t="s">
        <v>539</v>
      </c>
      <c r="K192" s="24">
        <v>0</v>
      </c>
      <c r="L192" s="24" t="s">
        <v>2246</v>
      </c>
    </row>
    <row r="193" spans="1:12" ht="25.15" customHeight="1" x14ac:dyDescent="0.25">
      <c r="A193" s="28" t="s">
        <v>238</v>
      </c>
      <c r="B193" s="28" t="s">
        <v>2347</v>
      </c>
      <c r="C193" s="28" t="s">
        <v>1268</v>
      </c>
      <c r="D193" s="28" t="s">
        <v>2123</v>
      </c>
      <c r="E193" s="27" t="s">
        <v>2348</v>
      </c>
      <c r="F193" s="27" t="s">
        <v>2059</v>
      </c>
      <c r="G193" s="28" t="s">
        <v>2349</v>
      </c>
      <c r="H193" s="27" t="s">
        <v>2350</v>
      </c>
      <c r="I193" s="27" t="s">
        <v>2062</v>
      </c>
      <c r="J193" s="27" t="s">
        <v>2063</v>
      </c>
      <c r="K193" s="27" t="s">
        <v>2062</v>
      </c>
      <c r="L193" s="27" t="s">
        <v>2351</v>
      </c>
    </row>
    <row r="194" spans="1:12" ht="25.15" customHeight="1" x14ac:dyDescent="0.25">
      <c r="A194" s="29" t="s">
        <v>231</v>
      </c>
      <c r="B194" s="29" t="s">
        <v>1273</v>
      </c>
      <c r="D194" s="29" t="s">
        <v>2133</v>
      </c>
      <c r="E194" s="24"/>
    </row>
    <row r="195" spans="1:12" ht="25.15" customHeight="1" x14ac:dyDescent="0.25">
      <c r="A195" s="29" t="s">
        <v>246</v>
      </c>
      <c r="B195" s="29" t="s">
        <v>1278</v>
      </c>
      <c r="C195" s="29" t="s">
        <v>1279</v>
      </c>
      <c r="D195" s="29" t="s">
        <v>2122</v>
      </c>
      <c r="E195" s="24" t="s">
        <v>2161</v>
      </c>
      <c r="F195" s="24" t="s">
        <v>1209</v>
      </c>
      <c r="G195" s="29" t="s">
        <v>2247</v>
      </c>
      <c r="H195" s="24">
        <v>0</v>
      </c>
      <c r="I195" s="24">
        <v>0</v>
      </c>
      <c r="J195" s="24" t="s">
        <v>539</v>
      </c>
      <c r="K195" s="24">
        <v>0</v>
      </c>
      <c r="L195" s="24" t="s">
        <v>2246</v>
      </c>
    </row>
    <row r="196" spans="1:12" ht="25.15" customHeight="1" x14ac:dyDescent="0.25">
      <c r="A196" s="29" t="s">
        <v>258</v>
      </c>
      <c r="B196" s="29" t="s">
        <v>1284</v>
      </c>
      <c r="D196" s="29" t="s">
        <v>2122</v>
      </c>
      <c r="E196" s="24"/>
    </row>
    <row r="197" spans="1:12" ht="25.15" customHeight="1" x14ac:dyDescent="0.25">
      <c r="A197" s="29" t="s">
        <v>447</v>
      </c>
      <c r="B197" s="29" t="s">
        <v>1286</v>
      </c>
      <c r="D197" s="29" t="s">
        <v>2122</v>
      </c>
      <c r="E197" s="24"/>
    </row>
    <row r="198" spans="1:12" ht="25.15" customHeight="1" x14ac:dyDescent="0.25">
      <c r="A198" s="29" t="s">
        <v>252</v>
      </c>
      <c r="B198" s="29" t="s">
        <v>1288</v>
      </c>
      <c r="D198" s="29" t="s">
        <v>2130</v>
      </c>
      <c r="E198" s="24"/>
    </row>
    <row r="199" spans="1:12" ht="25.15" customHeight="1" x14ac:dyDescent="0.25">
      <c r="A199" s="29" t="s">
        <v>75</v>
      </c>
      <c r="B199" s="29" t="s">
        <v>1295</v>
      </c>
      <c r="D199" s="29" t="s">
        <v>1186</v>
      </c>
      <c r="E199" s="24"/>
    </row>
    <row r="200" spans="1:12" ht="25.15" customHeight="1" x14ac:dyDescent="0.25">
      <c r="A200" s="29" t="s">
        <v>444</v>
      </c>
      <c r="B200" s="29" t="s">
        <v>1297</v>
      </c>
      <c r="D200" s="29" t="s">
        <v>1186</v>
      </c>
      <c r="E200" s="24"/>
    </row>
    <row r="201" spans="1:12" ht="25.15" customHeight="1" x14ac:dyDescent="0.25">
      <c r="A201" s="29" t="s">
        <v>224</v>
      </c>
      <c r="B201" s="29" t="s">
        <v>1301</v>
      </c>
      <c r="D201" s="29" t="s">
        <v>2129</v>
      </c>
      <c r="E201" s="24"/>
    </row>
    <row r="202" spans="1:12" ht="25.15" customHeight="1" x14ac:dyDescent="0.25">
      <c r="A202" s="29" t="s">
        <v>7</v>
      </c>
      <c r="B202" s="29" t="s">
        <v>2382</v>
      </c>
      <c r="C202" s="29" t="s">
        <v>1304</v>
      </c>
      <c r="D202" s="29" t="s">
        <v>2133</v>
      </c>
      <c r="E202" s="24" t="s">
        <v>2383</v>
      </c>
      <c r="F202" s="24" t="s">
        <v>2059</v>
      </c>
      <c r="G202" s="29" t="s">
        <v>2384</v>
      </c>
      <c r="H202" s="24" t="s">
        <v>2385</v>
      </c>
      <c r="I202" s="24" t="s">
        <v>2062</v>
      </c>
      <c r="J202" s="24" t="s">
        <v>2063</v>
      </c>
      <c r="K202" s="24" t="s">
        <v>2062</v>
      </c>
      <c r="L202" s="24" t="s">
        <v>2386</v>
      </c>
    </row>
    <row r="203" spans="1:12" ht="25.15" customHeight="1" x14ac:dyDescent="0.25">
      <c r="A203" s="29" t="s">
        <v>74</v>
      </c>
      <c r="B203" s="29" t="s">
        <v>1305</v>
      </c>
      <c r="D203" s="29" t="s">
        <v>1186</v>
      </c>
      <c r="E203" s="24"/>
    </row>
    <row r="204" spans="1:12" ht="25.15" customHeight="1" x14ac:dyDescent="0.25">
      <c r="A204" s="29" t="s">
        <v>372</v>
      </c>
      <c r="B204" s="29" t="s">
        <v>1316</v>
      </c>
      <c r="D204" s="29" t="s">
        <v>2129</v>
      </c>
      <c r="E204" s="24"/>
    </row>
    <row r="205" spans="1:12" ht="25.15" customHeight="1" x14ac:dyDescent="0.25">
      <c r="A205" s="29" t="s">
        <v>123</v>
      </c>
      <c r="B205" s="29" t="s">
        <v>1320</v>
      </c>
      <c r="D205" s="29" t="s">
        <v>2133</v>
      </c>
      <c r="E205" s="24"/>
    </row>
    <row r="206" spans="1:12" ht="25.15" customHeight="1" x14ac:dyDescent="0.25">
      <c r="A206" s="29" t="s">
        <v>261</v>
      </c>
      <c r="B206" s="29" t="s">
        <v>1325</v>
      </c>
      <c r="D206" s="29" t="s">
        <v>2130</v>
      </c>
      <c r="E206" s="24"/>
    </row>
    <row r="207" spans="1:12" ht="25.15" customHeight="1" x14ac:dyDescent="0.25">
      <c r="A207" s="29" t="s">
        <v>404</v>
      </c>
      <c r="B207" s="29" t="s">
        <v>1330</v>
      </c>
      <c r="D207" s="29" t="s">
        <v>2123</v>
      </c>
      <c r="E207" s="24"/>
    </row>
    <row r="208" spans="1:12" ht="25.15" customHeight="1" x14ac:dyDescent="0.25">
      <c r="A208" s="29" t="s">
        <v>393</v>
      </c>
      <c r="B208" s="29" t="s">
        <v>1332</v>
      </c>
      <c r="D208" s="29" t="s">
        <v>2125</v>
      </c>
      <c r="E208" s="24"/>
    </row>
    <row r="209" spans="1:12" ht="25.15" customHeight="1" x14ac:dyDescent="0.25">
      <c r="A209" s="29" t="s">
        <v>237</v>
      </c>
      <c r="B209" s="29" t="s">
        <v>1334</v>
      </c>
      <c r="D209" s="29" t="s">
        <v>2122</v>
      </c>
      <c r="E209" s="24"/>
    </row>
    <row r="210" spans="1:12" ht="25.15" customHeight="1" x14ac:dyDescent="0.25">
      <c r="A210" s="29" t="s">
        <v>376</v>
      </c>
      <c r="B210" s="29" t="s">
        <v>1337</v>
      </c>
      <c r="D210" s="29" t="s">
        <v>2129</v>
      </c>
      <c r="E210" s="24"/>
    </row>
    <row r="211" spans="1:12" ht="25.15" customHeight="1" x14ac:dyDescent="0.25">
      <c r="A211" s="29" t="s">
        <v>468</v>
      </c>
      <c r="B211" s="29" t="s">
        <v>1339</v>
      </c>
      <c r="D211" s="29" t="s">
        <v>2129</v>
      </c>
      <c r="E211" s="24"/>
    </row>
    <row r="212" spans="1:12" ht="25.15" customHeight="1" x14ac:dyDescent="0.25">
      <c r="A212" s="29" t="s">
        <v>76</v>
      </c>
      <c r="B212" s="29" t="s">
        <v>1341</v>
      </c>
      <c r="D212" s="29" t="s">
        <v>2122</v>
      </c>
      <c r="E212" s="24"/>
    </row>
    <row r="213" spans="1:12" ht="25.15" customHeight="1" x14ac:dyDescent="0.25">
      <c r="A213" s="29" t="s">
        <v>169</v>
      </c>
      <c r="B213" s="29" t="s">
        <v>1343</v>
      </c>
      <c r="D213" s="29" t="s">
        <v>2122</v>
      </c>
      <c r="E213" s="24"/>
    </row>
    <row r="214" spans="1:12" ht="25.15" customHeight="1" x14ac:dyDescent="0.25">
      <c r="A214" s="29" t="s">
        <v>162</v>
      </c>
      <c r="B214" s="29" t="s">
        <v>1344</v>
      </c>
      <c r="D214" s="29" t="s">
        <v>2130</v>
      </c>
      <c r="E214" s="24"/>
    </row>
    <row r="215" spans="1:12" ht="25.15" customHeight="1" x14ac:dyDescent="0.25">
      <c r="A215" s="29" t="s">
        <v>27</v>
      </c>
      <c r="B215" s="29" t="s">
        <v>1346</v>
      </c>
      <c r="D215" s="29" t="s">
        <v>2133</v>
      </c>
      <c r="E215" s="24"/>
    </row>
    <row r="216" spans="1:12" ht="25.15" customHeight="1" x14ac:dyDescent="0.25">
      <c r="A216" s="29" t="s">
        <v>199</v>
      </c>
      <c r="B216" s="29" t="s">
        <v>1347</v>
      </c>
      <c r="D216" s="29" t="s">
        <v>2123</v>
      </c>
      <c r="E216" s="24"/>
    </row>
    <row r="217" spans="1:12" ht="25.15" customHeight="1" x14ac:dyDescent="0.25">
      <c r="A217" s="29" t="s">
        <v>438</v>
      </c>
      <c r="B217" s="29" t="s">
        <v>1349</v>
      </c>
      <c r="D217" s="29" t="s">
        <v>2123</v>
      </c>
      <c r="E217" s="24"/>
    </row>
    <row r="218" spans="1:12" ht="25.15" customHeight="1" x14ac:dyDescent="0.25">
      <c r="A218" s="29" t="s">
        <v>37</v>
      </c>
      <c r="B218" s="29" t="s">
        <v>1350</v>
      </c>
      <c r="D218" s="29" t="s">
        <v>2123</v>
      </c>
      <c r="E218" s="24"/>
    </row>
    <row r="219" spans="1:12" ht="25.15" customHeight="1" x14ac:dyDescent="0.25">
      <c r="A219" s="29" t="s">
        <v>40</v>
      </c>
      <c r="B219" s="29" t="s">
        <v>1351</v>
      </c>
      <c r="D219" s="29" t="s">
        <v>2133</v>
      </c>
      <c r="E219" s="24"/>
    </row>
    <row r="220" spans="1:12" ht="25.15" customHeight="1" x14ac:dyDescent="0.25">
      <c r="A220" s="29" t="s">
        <v>317</v>
      </c>
      <c r="B220" s="29" t="s">
        <v>1352</v>
      </c>
      <c r="D220" s="29" t="s">
        <v>2133</v>
      </c>
      <c r="E220" s="24"/>
    </row>
    <row r="221" spans="1:12" ht="25.15" customHeight="1" x14ac:dyDescent="0.25">
      <c r="A221" s="29" t="s">
        <v>433</v>
      </c>
      <c r="B221" s="29" t="s">
        <v>1353</v>
      </c>
      <c r="D221" s="29" t="s">
        <v>2133</v>
      </c>
      <c r="E221" s="24"/>
    </row>
    <row r="222" spans="1:12" ht="25.15" customHeight="1" x14ac:dyDescent="0.25">
      <c r="A222" s="29" t="s">
        <v>353</v>
      </c>
      <c r="B222" s="29" t="s">
        <v>1354</v>
      </c>
      <c r="D222" s="29" t="s">
        <v>2122</v>
      </c>
      <c r="E222" s="24"/>
    </row>
    <row r="223" spans="1:12" ht="25.15" customHeight="1" x14ac:dyDescent="0.25">
      <c r="A223" s="29" t="s">
        <v>396</v>
      </c>
      <c r="B223" s="29" t="s">
        <v>1355</v>
      </c>
      <c r="D223" s="29" t="s">
        <v>2057</v>
      </c>
      <c r="E223" s="24" t="s">
        <v>2162</v>
      </c>
      <c r="F223" s="24" t="s">
        <v>1209</v>
      </c>
      <c r="G223" s="29" t="s">
        <v>2271</v>
      </c>
      <c r="H223" s="24">
        <v>0</v>
      </c>
      <c r="I223" s="24">
        <v>0</v>
      </c>
      <c r="J223" s="24" t="s">
        <v>539</v>
      </c>
      <c r="K223" s="24">
        <v>0</v>
      </c>
      <c r="L223" s="24" t="s">
        <v>2246</v>
      </c>
    </row>
    <row r="224" spans="1:12" ht="25.15" customHeight="1" x14ac:dyDescent="0.25">
      <c r="A224" s="29" t="s">
        <v>456</v>
      </c>
      <c r="B224" s="29" t="s">
        <v>1359</v>
      </c>
      <c r="D224" s="29" t="s">
        <v>2122</v>
      </c>
      <c r="E224" s="24"/>
    </row>
    <row r="225" spans="1:12" ht="25.15" customHeight="1" x14ac:dyDescent="0.25">
      <c r="A225" s="29" t="s">
        <v>50</v>
      </c>
      <c r="B225" s="29" t="s">
        <v>1361</v>
      </c>
      <c r="D225" s="29" t="s">
        <v>2133</v>
      </c>
      <c r="E225" s="24"/>
    </row>
    <row r="226" spans="1:12" ht="25.15" customHeight="1" x14ac:dyDescent="0.25">
      <c r="A226" s="29" t="s">
        <v>145</v>
      </c>
      <c r="B226" s="29" t="s">
        <v>1363</v>
      </c>
      <c r="D226" s="29" t="s">
        <v>2123</v>
      </c>
      <c r="E226" s="24"/>
    </row>
    <row r="227" spans="1:12" ht="25.15" customHeight="1" x14ac:dyDescent="0.25">
      <c r="A227" s="29" t="s">
        <v>495</v>
      </c>
      <c r="B227" s="29" t="s">
        <v>1366</v>
      </c>
      <c r="D227" s="29" t="s">
        <v>2122</v>
      </c>
      <c r="E227" s="24"/>
    </row>
    <row r="228" spans="1:12" ht="25.15" customHeight="1" x14ac:dyDescent="0.25">
      <c r="A228" s="29" t="s">
        <v>437</v>
      </c>
      <c r="B228" s="29" t="s">
        <v>1367</v>
      </c>
      <c r="D228" s="29" t="s">
        <v>2130</v>
      </c>
      <c r="E228" s="24"/>
    </row>
    <row r="229" spans="1:12" ht="25.15" customHeight="1" x14ac:dyDescent="0.25">
      <c r="A229" s="29" t="s">
        <v>407</v>
      </c>
      <c r="B229" s="29" t="s">
        <v>1368</v>
      </c>
      <c r="D229" s="29" t="s">
        <v>1186</v>
      </c>
      <c r="E229" s="24"/>
    </row>
    <row r="230" spans="1:12" ht="25.15" customHeight="1" x14ac:dyDescent="0.25">
      <c r="A230" s="29" t="s">
        <v>366</v>
      </c>
      <c r="B230" s="29" t="s">
        <v>1370</v>
      </c>
      <c r="D230" s="29" t="s">
        <v>2122</v>
      </c>
      <c r="E230" s="24" t="s">
        <v>1262</v>
      </c>
      <c r="F230" s="24" t="s">
        <v>1209</v>
      </c>
      <c r="G230" s="29" t="s">
        <v>2185</v>
      </c>
      <c r="H230" s="24" t="s">
        <v>2186</v>
      </c>
      <c r="I230" s="24" t="s">
        <v>2062</v>
      </c>
      <c r="J230" s="24" t="s">
        <v>2063</v>
      </c>
      <c r="K230" s="24" t="s">
        <v>2062</v>
      </c>
      <c r="L230" s="24" t="s">
        <v>2187</v>
      </c>
    </row>
    <row r="231" spans="1:12" ht="25.15" customHeight="1" x14ac:dyDescent="0.25">
      <c r="A231" s="29" t="s">
        <v>470</v>
      </c>
      <c r="B231" s="29" t="s">
        <v>1371</v>
      </c>
      <c r="D231" s="29" t="s">
        <v>2125</v>
      </c>
      <c r="E231" s="24"/>
    </row>
    <row r="232" spans="1:12" ht="25.15" customHeight="1" x14ac:dyDescent="0.25">
      <c r="A232" s="29" t="s">
        <v>471</v>
      </c>
      <c r="B232" s="29" t="s">
        <v>1373</v>
      </c>
      <c r="D232" s="29" t="s">
        <v>2125</v>
      </c>
      <c r="E232" s="24"/>
    </row>
    <row r="233" spans="1:12" ht="25.15" customHeight="1" x14ac:dyDescent="0.25">
      <c r="A233" s="29" t="s">
        <v>472</v>
      </c>
      <c r="B233" s="29" t="s">
        <v>1374</v>
      </c>
      <c r="D233" s="29" t="s">
        <v>2125</v>
      </c>
      <c r="E233" s="24"/>
    </row>
    <row r="234" spans="1:12" ht="25.15" customHeight="1" x14ac:dyDescent="0.25">
      <c r="A234" s="29" t="s">
        <v>469</v>
      </c>
      <c r="B234" s="29" t="s">
        <v>1375</v>
      </c>
      <c r="D234" s="29" t="s">
        <v>2129</v>
      </c>
      <c r="E234" s="24"/>
    </row>
    <row r="235" spans="1:12" ht="25.15" customHeight="1" x14ac:dyDescent="0.25">
      <c r="A235" s="29" t="s">
        <v>475</v>
      </c>
      <c r="B235" s="29" t="s">
        <v>1377</v>
      </c>
      <c r="E235" s="24" t="s">
        <v>2137</v>
      </c>
      <c r="F235" s="24" t="s">
        <v>1209</v>
      </c>
      <c r="G235" s="29" t="s">
        <v>2207</v>
      </c>
      <c r="H235" s="24" t="s">
        <v>2208</v>
      </c>
      <c r="I235" s="24" t="s">
        <v>2209</v>
      </c>
      <c r="J235" s="24" t="s">
        <v>2063</v>
      </c>
      <c r="K235" s="24" t="s">
        <v>2062</v>
      </c>
      <c r="L235" s="24" t="s">
        <v>2187</v>
      </c>
    </row>
    <row r="236" spans="1:12" ht="25.15" customHeight="1" x14ac:dyDescent="0.25">
      <c r="A236" s="29" t="s">
        <v>473</v>
      </c>
      <c r="B236" s="29" t="s">
        <v>1378</v>
      </c>
      <c r="D236" s="29" t="s">
        <v>2129</v>
      </c>
      <c r="E236" s="24"/>
    </row>
    <row r="237" spans="1:12" ht="25.15" customHeight="1" x14ac:dyDescent="0.25">
      <c r="A237" s="29" t="s">
        <v>547</v>
      </c>
      <c r="B237" s="29" t="s">
        <v>1380</v>
      </c>
      <c r="D237" s="29" t="s">
        <v>2131</v>
      </c>
      <c r="E237" s="24"/>
    </row>
    <row r="238" spans="1:12" ht="25.15" customHeight="1" x14ac:dyDescent="0.25">
      <c r="A238" s="29" t="s">
        <v>474</v>
      </c>
      <c r="B238" s="29" t="s">
        <v>1381</v>
      </c>
      <c r="D238" s="29" t="s">
        <v>2129</v>
      </c>
      <c r="E238" s="24"/>
    </row>
    <row r="239" spans="1:12" ht="25.15" customHeight="1" x14ac:dyDescent="0.25">
      <c r="A239" s="29" t="s">
        <v>476</v>
      </c>
      <c r="B239" s="29" t="s">
        <v>1382</v>
      </c>
      <c r="C239" s="29" t="s">
        <v>1340</v>
      </c>
      <c r="D239" s="29" t="s">
        <v>2122</v>
      </c>
      <c r="E239" s="24" t="s">
        <v>2472</v>
      </c>
      <c r="F239" s="24" t="s">
        <v>2059</v>
      </c>
      <c r="G239" s="29" t="s">
        <v>539</v>
      </c>
      <c r="H239" s="24" t="s">
        <v>539</v>
      </c>
      <c r="I239" s="24" t="s">
        <v>539</v>
      </c>
      <c r="J239" s="24" t="s">
        <v>539</v>
      </c>
      <c r="K239" s="24" t="s">
        <v>539</v>
      </c>
      <c r="L239" s="24" t="s">
        <v>539</v>
      </c>
    </row>
    <row r="240" spans="1:12" ht="25.15" customHeight="1" x14ac:dyDescent="0.25">
      <c r="A240" s="29" t="s">
        <v>477</v>
      </c>
      <c r="B240" s="29" t="s">
        <v>1383</v>
      </c>
      <c r="D240" s="29" t="s">
        <v>2132</v>
      </c>
      <c r="E240" s="24"/>
    </row>
    <row r="241" spans="1:12" ht="25.15" customHeight="1" x14ac:dyDescent="0.25">
      <c r="A241" s="29" t="s">
        <v>480</v>
      </c>
      <c r="B241" s="29" t="s">
        <v>2400</v>
      </c>
      <c r="C241" s="29" t="s">
        <v>1775</v>
      </c>
      <c r="D241" s="29" t="s">
        <v>1186</v>
      </c>
      <c r="E241" s="24" t="s">
        <v>2163</v>
      </c>
      <c r="F241" s="24" t="s">
        <v>2059</v>
      </c>
      <c r="G241" s="29" t="s">
        <v>2401</v>
      </c>
      <c r="H241" s="24" t="s">
        <v>2204</v>
      </c>
      <c r="I241" s="24" t="s">
        <v>2062</v>
      </c>
      <c r="J241" s="24" t="s">
        <v>2063</v>
      </c>
      <c r="K241" s="24" t="s">
        <v>2062</v>
      </c>
      <c r="L241" s="24" t="s">
        <v>2402</v>
      </c>
    </row>
    <row r="242" spans="1:12" ht="25.15" customHeight="1" x14ac:dyDescent="0.25">
      <c r="A242" s="29" t="s">
        <v>479</v>
      </c>
      <c r="B242" s="29" t="s">
        <v>1385</v>
      </c>
      <c r="D242" s="29" t="s">
        <v>2129</v>
      </c>
      <c r="E242" s="24"/>
    </row>
    <row r="243" spans="1:12" ht="25.15" customHeight="1" x14ac:dyDescent="0.25">
      <c r="A243" s="29" t="s">
        <v>499</v>
      </c>
      <c r="B243" s="29" t="s">
        <v>1386</v>
      </c>
      <c r="D243" s="29" t="s">
        <v>1186</v>
      </c>
      <c r="E243" s="24"/>
    </row>
    <row r="244" spans="1:12" ht="25.15" customHeight="1" x14ac:dyDescent="0.25">
      <c r="A244" s="29" t="s">
        <v>478</v>
      </c>
      <c r="B244" s="29" t="s">
        <v>1387</v>
      </c>
      <c r="D244" s="29" t="s">
        <v>2129</v>
      </c>
      <c r="E244" s="24"/>
    </row>
    <row r="245" spans="1:12" ht="25.15" customHeight="1" x14ac:dyDescent="0.25">
      <c r="A245" s="29" t="s">
        <v>500</v>
      </c>
      <c r="B245" s="29" t="s">
        <v>1388</v>
      </c>
      <c r="D245" s="29" t="s">
        <v>2133</v>
      </c>
      <c r="E245" s="24"/>
    </row>
    <row r="246" spans="1:12" ht="25.15" customHeight="1" x14ac:dyDescent="0.25">
      <c r="A246" s="29" t="s">
        <v>484</v>
      </c>
      <c r="B246" s="29" t="s">
        <v>1390</v>
      </c>
      <c r="D246" s="29" t="s">
        <v>2130</v>
      </c>
      <c r="E246" s="24"/>
    </row>
    <row r="247" spans="1:12" ht="25.15" customHeight="1" x14ac:dyDescent="0.25">
      <c r="A247" s="29" t="s">
        <v>498</v>
      </c>
      <c r="B247" s="29" t="s">
        <v>1391</v>
      </c>
      <c r="D247" s="29" t="s">
        <v>1186</v>
      </c>
      <c r="E247" s="24"/>
    </row>
    <row r="248" spans="1:12" ht="25.15" customHeight="1" x14ac:dyDescent="0.25">
      <c r="A248" s="29" t="s">
        <v>481</v>
      </c>
      <c r="B248" s="29" t="s">
        <v>1393</v>
      </c>
      <c r="D248" s="29" t="s">
        <v>2131</v>
      </c>
      <c r="E248" s="24"/>
    </row>
    <row r="249" spans="1:12" ht="25.15" customHeight="1" x14ac:dyDescent="0.25">
      <c r="A249" s="29" t="s">
        <v>505</v>
      </c>
      <c r="B249" s="29" t="s">
        <v>1394</v>
      </c>
      <c r="D249" s="29" t="s">
        <v>2122</v>
      </c>
      <c r="E249" s="24"/>
    </row>
    <row r="250" spans="1:12" ht="25.15" customHeight="1" x14ac:dyDescent="0.25">
      <c r="A250" s="29" t="s">
        <v>483</v>
      </c>
      <c r="B250" s="29" t="s">
        <v>1395</v>
      </c>
      <c r="D250" s="29" t="s">
        <v>2125</v>
      </c>
      <c r="E250" s="24"/>
    </row>
    <row r="251" spans="1:12" ht="25.15" customHeight="1" x14ac:dyDescent="0.25">
      <c r="A251" s="29" t="s">
        <v>482</v>
      </c>
      <c r="B251" s="29" t="s">
        <v>1397</v>
      </c>
      <c r="D251" s="29" t="s">
        <v>2132</v>
      </c>
      <c r="E251" s="24" t="s">
        <v>2164</v>
      </c>
      <c r="F251" s="24" t="s">
        <v>1209</v>
      </c>
      <c r="G251" s="29" t="s">
        <v>2272</v>
      </c>
      <c r="H251" s="24">
        <v>0</v>
      </c>
      <c r="I251" s="24">
        <v>0</v>
      </c>
      <c r="J251" s="24" t="s">
        <v>539</v>
      </c>
      <c r="K251" s="24">
        <v>0</v>
      </c>
      <c r="L251" s="24" t="s">
        <v>2251</v>
      </c>
    </row>
    <row r="252" spans="1:12" ht="25.15" customHeight="1" x14ac:dyDescent="0.25">
      <c r="A252" s="29" t="s">
        <v>487</v>
      </c>
      <c r="B252" s="29" t="s">
        <v>1399</v>
      </c>
      <c r="D252" s="29" t="s">
        <v>2130</v>
      </c>
      <c r="E252" s="24"/>
    </row>
    <row r="253" spans="1:12" ht="25.15" customHeight="1" x14ac:dyDescent="0.25">
      <c r="A253" s="29" t="s">
        <v>491</v>
      </c>
      <c r="B253" s="29" t="s">
        <v>1400</v>
      </c>
      <c r="D253" s="29" t="s">
        <v>2130</v>
      </c>
      <c r="E253" s="24"/>
    </row>
    <row r="254" spans="1:12" ht="25.15" customHeight="1" x14ac:dyDescent="0.25">
      <c r="A254" s="29" t="s">
        <v>545</v>
      </c>
      <c r="B254" s="29" t="s">
        <v>1401</v>
      </c>
      <c r="D254" s="29" t="s">
        <v>2125</v>
      </c>
      <c r="E254" s="24"/>
    </row>
    <row r="255" spans="1:12" ht="25.15" customHeight="1" x14ac:dyDescent="0.25">
      <c r="A255" s="29" t="s">
        <v>494</v>
      </c>
      <c r="B255" s="29" t="s">
        <v>1402</v>
      </c>
      <c r="D255" s="29" t="s">
        <v>2057</v>
      </c>
      <c r="E255" s="24" t="s">
        <v>1948</v>
      </c>
      <c r="F255" s="24" t="s">
        <v>1209</v>
      </c>
      <c r="G255" s="29" t="s">
        <v>2273</v>
      </c>
      <c r="H255" s="24">
        <v>0</v>
      </c>
      <c r="I255" s="24">
        <v>0</v>
      </c>
      <c r="J255" s="24" t="s">
        <v>539</v>
      </c>
      <c r="K255" s="24">
        <v>0</v>
      </c>
      <c r="L255" s="24" t="s">
        <v>2246</v>
      </c>
    </row>
    <row r="256" spans="1:12" ht="25.15" customHeight="1" x14ac:dyDescent="0.25">
      <c r="A256" s="29" t="s">
        <v>512</v>
      </c>
      <c r="B256" s="29" t="s">
        <v>1404</v>
      </c>
      <c r="D256" s="29" t="s">
        <v>2122</v>
      </c>
      <c r="E256" s="24"/>
    </row>
    <row r="257" spans="1:12" ht="25.15" customHeight="1" x14ac:dyDescent="0.25">
      <c r="A257" s="29" t="s">
        <v>515</v>
      </c>
      <c r="B257" s="29" t="s">
        <v>1408</v>
      </c>
      <c r="D257" s="29" t="s">
        <v>2125</v>
      </c>
      <c r="E257" s="24"/>
    </row>
    <row r="258" spans="1:12" ht="25.15" customHeight="1" x14ac:dyDescent="0.25">
      <c r="A258" s="29" t="s">
        <v>490</v>
      </c>
      <c r="B258" s="29" t="s">
        <v>1410</v>
      </c>
      <c r="D258" s="29" t="s">
        <v>2123</v>
      </c>
      <c r="E258" s="24"/>
    </row>
    <row r="259" spans="1:12" ht="25.15" customHeight="1" x14ac:dyDescent="0.25">
      <c r="A259" s="29" t="s">
        <v>492</v>
      </c>
      <c r="B259" s="29" t="s">
        <v>1414</v>
      </c>
      <c r="D259" s="29" t="s">
        <v>2130</v>
      </c>
      <c r="E259" s="24"/>
    </row>
    <row r="260" spans="1:12" ht="25.15" customHeight="1" x14ac:dyDescent="0.25">
      <c r="A260" s="29" t="s">
        <v>493</v>
      </c>
      <c r="B260" s="29" t="s">
        <v>1417</v>
      </c>
      <c r="D260" s="29" t="s">
        <v>2126</v>
      </c>
      <c r="E260" s="24"/>
    </row>
    <row r="261" spans="1:12" ht="25.15" customHeight="1" x14ac:dyDescent="0.25">
      <c r="A261" s="29" t="s">
        <v>504</v>
      </c>
      <c r="B261" s="29" t="s">
        <v>1419</v>
      </c>
      <c r="D261" s="29" t="s">
        <v>2123</v>
      </c>
      <c r="E261" s="24"/>
    </row>
    <row r="262" spans="1:12" ht="25.15" customHeight="1" x14ac:dyDescent="0.25">
      <c r="A262" s="29" t="s">
        <v>507</v>
      </c>
      <c r="B262" s="29" t="s">
        <v>1421</v>
      </c>
      <c r="D262" s="29" t="s">
        <v>2122</v>
      </c>
      <c r="E262" s="24"/>
    </row>
    <row r="263" spans="1:12" ht="25.15" customHeight="1" x14ac:dyDescent="0.25">
      <c r="A263" s="29" t="s">
        <v>502</v>
      </c>
      <c r="B263" s="29" t="s">
        <v>1423</v>
      </c>
      <c r="D263" s="29" t="s">
        <v>2129</v>
      </c>
      <c r="E263" s="24"/>
    </row>
    <row r="264" spans="1:12" ht="25.15" customHeight="1" x14ac:dyDescent="0.25">
      <c r="A264" s="29" t="s">
        <v>496</v>
      </c>
      <c r="B264" s="29" t="s">
        <v>1424</v>
      </c>
      <c r="D264" s="29" t="s">
        <v>2127</v>
      </c>
      <c r="E264" s="24"/>
    </row>
    <row r="265" spans="1:12" ht="25.15" customHeight="1" x14ac:dyDescent="0.25">
      <c r="A265" s="29" t="s">
        <v>550</v>
      </c>
      <c r="B265" s="29" t="s">
        <v>1426</v>
      </c>
      <c r="D265" s="29" t="s">
        <v>2129</v>
      </c>
      <c r="E265" s="24"/>
    </row>
    <row r="266" spans="1:12" ht="25.15" customHeight="1" x14ac:dyDescent="0.25">
      <c r="A266" s="29" t="s">
        <v>516</v>
      </c>
      <c r="B266" s="29" t="s">
        <v>1427</v>
      </c>
      <c r="D266" s="29" t="s">
        <v>2130</v>
      </c>
      <c r="E266" s="24"/>
    </row>
    <row r="267" spans="1:12" ht="25.15" customHeight="1" x14ac:dyDescent="0.25">
      <c r="A267" s="29" t="s">
        <v>508</v>
      </c>
      <c r="B267" s="29" t="s">
        <v>1428</v>
      </c>
      <c r="D267" s="29" t="s">
        <v>2132</v>
      </c>
      <c r="E267" s="24" t="s">
        <v>2165</v>
      </c>
      <c r="F267" s="24" t="s">
        <v>1209</v>
      </c>
      <c r="G267" s="29" t="s">
        <v>2274</v>
      </c>
      <c r="H267" s="24">
        <v>0</v>
      </c>
      <c r="I267" s="24">
        <v>0</v>
      </c>
      <c r="J267" s="24" t="s">
        <v>539</v>
      </c>
      <c r="K267" s="24">
        <v>0</v>
      </c>
      <c r="L267" s="24" t="s">
        <v>2251</v>
      </c>
    </row>
    <row r="268" spans="1:12" ht="25.15" customHeight="1" x14ac:dyDescent="0.25">
      <c r="A268" s="29" t="s">
        <v>542</v>
      </c>
      <c r="B268" s="29" t="s">
        <v>1430</v>
      </c>
      <c r="D268" s="29" t="s">
        <v>2133</v>
      </c>
      <c r="E268" s="24" t="s">
        <v>1454</v>
      </c>
      <c r="F268" s="24" t="s">
        <v>1209</v>
      </c>
      <c r="G268" s="29" t="s">
        <v>2250</v>
      </c>
      <c r="H268" s="24">
        <v>0</v>
      </c>
      <c r="I268" s="24">
        <v>0</v>
      </c>
      <c r="J268" s="24" t="s">
        <v>539</v>
      </c>
      <c r="K268" s="24">
        <v>0</v>
      </c>
      <c r="L268" s="24" t="s">
        <v>2275</v>
      </c>
    </row>
    <row r="269" spans="1:12" ht="25.15" customHeight="1" x14ac:dyDescent="0.25">
      <c r="A269" s="29" t="s">
        <v>514</v>
      </c>
      <c r="B269" s="29" t="s">
        <v>1431</v>
      </c>
      <c r="D269" s="29" t="s">
        <v>2130</v>
      </c>
      <c r="E269" s="24"/>
    </row>
    <row r="270" spans="1:12" ht="25.15" customHeight="1" x14ac:dyDescent="0.25">
      <c r="A270" s="29" t="s">
        <v>503</v>
      </c>
      <c r="B270" s="29" t="s">
        <v>1432</v>
      </c>
      <c r="D270" s="29" t="s">
        <v>2124</v>
      </c>
      <c r="E270" s="24"/>
    </row>
    <row r="271" spans="1:12" ht="25.15" customHeight="1" x14ac:dyDescent="0.25">
      <c r="A271" s="29" t="s">
        <v>529</v>
      </c>
      <c r="B271" s="29" t="s">
        <v>1433</v>
      </c>
      <c r="E271" s="24"/>
    </row>
    <row r="272" spans="1:12" ht="25.15" customHeight="1" x14ac:dyDescent="0.25">
      <c r="A272" s="29" t="s">
        <v>525</v>
      </c>
      <c r="B272" s="29" t="s">
        <v>1435</v>
      </c>
      <c r="E272" s="24"/>
    </row>
    <row r="273" spans="1:12" ht="25.15" customHeight="1" x14ac:dyDescent="0.25">
      <c r="A273" s="29" t="s">
        <v>506</v>
      </c>
      <c r="B273" s="29" t="s">
        <v>1436</v>
      </c>
      <c r="E273" s="24"/>
    </row>
    <row r="274" spans="1:12" ht="25.15" customHeight="1" x14ac:dyDescent="0.25">
      <c r="A274" s="29" t="s">
        <v>497</v>
      </c>
      <c r="B274" s="29" t="s">
        <v>1437</v>
      </c>
      <c r="D274" s="29" t="s">
        <v>2124</v>
      </c>
      <c r="E274" s="24"/>
    </row>
    <row r="275" spans="1:12" ht="25.15" customHeight="1" x14ac:dyDescent="0.25">
      <c r="A275" s="29" t="s">
        <v>519</v>
      </c>
      <c r="B275" s="29" t="s">
        <v>1439</v>
      </c>
      <c r="D275" s="29" t="s">
        <v>2129</v>
      </c>
      <c r="E275" s="24"/>
    </row>
    <row r="276" spans="1:12" ht="25.15" customHeight="1" x14ac:dyDescent="0.25">
      <c r="A276" s="29" t="s">
        <v>511</v>
      </c>
      <c r="B276" s="29" t="s">
        <v>1441</v>
      </c>
      <c r="D276" s="29" t="s">
        <v>2125</v>
      </c>
      <c r="E276" s="24"/>
    </row>
    <row r="277" spans="1:12" ht="25.15" customHeight="1" x14ac:dyDescent="0.25">
      <c r="A277" s="29" t="s">
        <v>501</v>
      </c>
      <c r="B277" s="29" t="s">
        <v>1443</v>
      </c>
      <c r="D277" s="29" t="s">
        <v>2124</v>
      </c>
      <c r="E277" s="24"/>
    </row>
    <row r="278" spans="1:12" ht="25.15" customHeight="1" x14ac:dyDescent="0.25">
      <c r="A278" s="29" t="s">
        <v>513</v>
      </c>
      <c r="B278" s="29" t="s">
        <v>1445</v>
      </c>
      <c r="D278" s="29" t="s">
        <v>2123</v>
      </c>
      <c r="E278" s="24"/>
    </row>
    <row r="279" spans="1:12" ht="25.15" customHeight="1" x14ac:dyDescent="0.25">
      <c r="A279" s="29" t="s">
        <v>526</v>
      </c>
      <c r="B279" s="29" t="s">
        <v>1446</v>
      </c>
      <c r="D279" s="29" t="s">
        <v>2133</v>
      </c>
      <c r="E279" s="24" t="s">
        <v>1262</v>
      </c>
      <c r="F279" s="24" t="s">
        <v>1209</v>
      </c>
      <c r="G279" s="29" t="s">
        <v>2276</v>
      </c>
      <c r="H279" s="24">
        <v>0</v>
      </c>
      <c r="I279" s="24">
        <v>0</v>
      </c>
      <c r="J279" s="24" t="s">
        <v>539</v>
      </c>
      <c r="K279" s="24">
        <v>0</v>
      </c>
      <c r="L279" s="24" t="s">
        <v>2251</v>
      </c>
    </row>
    <row r="280" spans="1:12" ht="25.15" customHeight="1" x14ac:dyDescent="0.25">
      <c r="A280" s="29" t="s">
        <v>509</v>
      </c>
      <c r="B280" s="29" t="s">
        <v>1447</v>
      </c>
      <c r="D280" s="29" t="s">
        <v>2130</v>
      </c>
      <c r="E280" s="24"/>
    </row>
    <row r="281" spans="1:12" ht="25.15" customHeight="1" x14ac:dyDescent="0.25">
      <c r="A281" s="29" t="s">
        <v>524</v>
      </c>
      <c r="B281" s="29" t="s">
        <v>1450</v>
      </c>
      <c r="D281" s="29" t="s">
        <v>2133</v>
      </c>
      <c r="E281" s="24"/>
    </row>
    <row r="282" spans="1:12" ht="25.15" customHeight="1" x14ac:dyDescent="0.25">
      <c r="A282" s="29" t="s">
        <v>523</v>
      </c>
      <c r="B282" s="29" t="s">
        <v>1451</v>
      </c>
      <c r="D282" s="29" t="s">
        <v>2122</v>
      </c>
      <c r="E282" s="24"/>
    </row>
    <row r="283" spans="1:12" ht="25.15" customHeight="1" x14ac:dyDescent="0.25">
      <c r="A283" s="29" t="s">
        <v>548</v>
      </c>
      <c r="B283" s="29" t="s">
        <v>1455</v>
      </c>
      <c r="D283" s="29" t="s">
        <v>1186</v>
      </c>
      <c r="E283" s="24"/>
    </row>
    <row r="284" spans="1:12" ht="25.15" customHeight="1" x14ac:dyDescent="0.25">
      <c r="A284" s="29" t="s">
        <v>544</v>
      </c>
      <c r="B284" s="29" t="s">
        <v>1456</v>
      </c>
      <c r="D284" s="29" t="s">
        <v>1186</v>
      </c>
      <c r="E284" s="24"/>
    </row>
    <row r="285" spans="1:12" ht="25.15" customHeight="1" x14ac:dyDescent="0.25">
      <c r="A285" s="29" t="s">
        <v>531</v>
      </c>
      <c r="B285" s="29" t="s">
        <v>1457</v>
      </c>
      <c r="D285" s="29" t="s">
        <v>2127</v>
      </c>
      <c r="E285" s="24"/>
    </row>
    <row r="286" spans="1:12" ht="25.15" customHeight="1" x14ac:dyDescent="0.25">
      <c r="A286" s="29" t="s">
        <v>546</v>
      </c>
      <c r="B286" s="29" t="s">
        <v>1458</v>
      </c>
      <c r="D286" s="29" t="s">
        <v>2122</v>
      </c>
      <c r="E286" s="24"/>
    </row>
    <row r="287" spans="1:12" ht="25.15" customHeight="1" x14ac:dyDescent="0.25">
      <c r="A287" s="29" t="s">
        <v>532</v>
      </c>
      <c r="B287" s="29" t="s">
        <v>1460</v>
      </c>
      <c r="D287" s="29" t="s">
        <v>1186</v>
      </c>
      <c r="E287" s="24"/>
    </row>
    <row r="288" spans="1:12" ht="25.15" customHeight="1" x14ac:dyDescent="0.25">
      <c r="A288" s="29" t="s">
        <v>540</v>
      </c>
      <c r="B288" s="29" t="s">
        <v>1462</v>
      </c>
      <c r="D288" s="29" t="s">
        <v>2133</v>
      </c>
      <c r="E288" s="24"/>
    </row>
    <row r="289" spans="1:12" ht="25.15" customHeight="1" x14ac:dyDescent="0.25">
      <c r="A289" s="29" t="s">
        <v>533</v>
      </c>
      <c r="B289" s="29" t="s">
        <v>1463</v>
      </c>
      <c r="D289" s="29" t="s">
        <v>2123</v>
      </c>
      <c r="E289" s="24"/>
    </row>
    <row r="290" spans="1:12" ht="25.15" customHeight="1" x14ac:dyDescent="0.25">
      <c r="A290" s="29" t="s">
        <v>530</v>
      </c>
      <c r="B290" s="29" t="s">
        <v>1465</v>
      </c>
      <c r="D290" s="29" t="s">
        <v>2123</v>
      </c>
      <c r="E290" s="24"/>
    </row>
    <row r="291" spans="1:12" ht="25.15" customHeight="1" x14ac:dyDescent="0.25">
      <c r="A291" s="29" t="s">
        <v>541</v>
      </c>
      <c r="B291" s="29" t="s">
        <v>1466</v>
      </c>
      <c r="D291" s="29" t="s">
        <v>2126</v>
      </c>
      <c r="E291" s="24"/>
    </row>
    <row r="292" spans="1:12" ht="25.15" customHeight="1" x14ac:dyDescent="0.25">
      <c r="A292" s="29" t="s">
        <v>528</v>
      </c>
      <c r="B292" s="29" t="s">
        <v>1467</v>
      </c>
      <c r="D292" s="29" t="s">
        <v>1186</v>
      </c>
      <c r="E292" s="24"/>
    </row>
    <row r="293" spans="1:12" ht="25.15" customHeight="1" x14ac:dyDescent="0.25">
      <c r="A293" s="29" t="s">
        <v>517</v>
      </c>
      <c r="B293" s="29" t="s">
        <v>1469</v>
      </c>
      <c r="D293" s="29" t="s">
        <v>2133</v>
      </c>
      <c r="E293" s="24"/>
    </row>
    <row r="294" spans="1:12" ht="25.15" customHeight="1" x14ac:dyDescent="0.25">
      <c r="A294" s="29" t="s">
        <v>522</v>
      </c>
      <c r="B294" s="29" t="s">
        <v>1470</v>
      </c>
      <c r="D294" s="29" t="s">
        <v>2122</v>
      </c>
      <c r="E294" s="24"/>
    </row>
    <row r="295" spans="1:12" ht="25.15" customHeight="1" x14ac:dyDescent="0.25">
      <c r="A295" s="29" t="s">
        <v>518</v>
      </c>
      <c r="B295" s="29" t="s">
        <v>1471</v>
      </c>
      <c r="D295" s="29" t="s">
        <v>2122</v>
      </c>
      <c r="E295" s="24"/>
    </row>
    <row r="296" spans="1:12" ht="25.15" customHeight="1" x14ac:dyDescent="0.25">
      <c r="A296" s="29" t="s">
        <v>520</v>
      </c>
      <c r="B296" s="29" t="s">
        <v>1472</v>
      </c>
      <c r="D296" s="29" t="s">
        <v>1186</v>
      </c>
      <c r="E296" s="24"/>
    </row>
    <row r="297" spans="1:12" ht="25.15" customHeight="1" x14ac:dyDescent="0.25">
      <c r="A297" s="29" t="s">
        <v>521</v>
      </c>
      <c r="B297" s="29" t="s">
        <v>1473</v>
      </c>
      <c r="D297" s="29" t="s">
        <v>2124</v>
      </c>
      <c r="E297" s="24"/>
    </row>
    <row r="298" spans="1:12" ht="25.15" customHeight="1" x14ac:dyDescent="0.25">
      <c r="A298" s="29" t="s">
        <v>527</v>
      </c>
      <c r="B298" s="29" t="s">
        <v>1474</v>
      </c>
      <c r="D298" s="29" t="s">
        <v>2125</v>
      </c>
      <c r="E298" s="24"/>
    </row>
    <row r="299" spans="1:12" ht="25.15" customHeight="1" x14ac:dyDescent="0.25">
      <c r="A299" s="29" t="s">
        <v>543</v>
      </c>
      <c r="B299" s="29" t="s">
        <v>1475</v>
      </c>
      <c r="D299" s="29" t="s">
        <v>2057</v>
      </c>
      <c r="E299" s="24"/>
    </row>
    <row r="300" spans="1:12" ht="25.15" customHeight="1" x14ac:dyDescent="0.25">
      <c r="A300" s="29" t="s">
        <v>558</v>
      </c>
      <c r="B300" s="29" t="s">
        <v>1476</v>
      </c>
      <c r="D300" s="29" t="s">
        <v>2126</v>
      </c>
      <c r="E300" s="24"/>
    </row>
    <row r="301" spans="1:12" ht="25.15" customHeight="1" x14ac:dyDescent="0.25">
      <c r="A301" s="29" t="s">
        <v>551</v>
      </c>
      <c r="B301" s="29" t="s">
        <v>1478</v>
      </c>
      <c r="D301" s="29" t="s">
        <v>2129</v>
      </c>
      <c r="E301" s="24"/>
    </row>
    <row r="302" spans="1:12" ht="25.15" customHeight="1" x14ac:dyDescent="0.25">
      <c r="A302" s="29" t="s">
        <v>555</v>
      </c>
      <c r="B302" s="29" t="s">
        <v>1479</v>
      </c>
      <c r="D302" s="29" t="s">
        <v>2122</v>
      </c>
      <c r="E302" s="24"/>
    </row>
    <row r="303" spans="1:12" ht="25.15" customHeight="1" x14ac:dyDescent="0.25">
      <c r="A303" s="29" t="s">
        <v>552</v>
      </c>
      <c r="B303" s="29" t="s">
        <v>1480</v>
      </c>
      <c r="D303" s="29" t="s">
        <v>2127</v>
      </c>
      <c r="E303" s="24"/>
    </row>
    <row r="304" spans="1:12" ht="25.15" customHeight="1" x14ac:dyDescent="0.25">
      <c r="A304" s="29" t="s">
        <v>559</v>
      </c>
      <c r="B304" s="29" t="s">
        <v>1481</v>
      </c>
      <c r="D304" s="29" t="s">
        <v>2132</v>
      </c>
      <c r="E304" s="24" t="s">
        <v>2165</v>
      </c>
      <c r="F304" s="24" t="s">
        <v>1209</v>
      </c>
      <c r="G304" s="29" t="s">
        <v>2276</v>
      </c>
      <c r="H304" s="24">
        <v>0</v>
      </c>
      <c r="I304" s="24">
        <v>0</v>
      </c>
      <c r="J304" s="24" t="s">
        <v>539</v>
      </c>
      <c r="K304" s="24">
        <v>0</v>
      </c>
      <c r="L304" s="24" t="s">
        <v>2251</v>
      </c>
    </row>
    <row r="305" spans="1:12" ht="25.15" customHeight="1" x14ac:dyDescent="0.25">
      <c r="A305" s="29" t="s">
        <v>557</v>
      </c>
      <c r="B305" s="29" t="s">
        <v>1482</v>
      </c>
      <c r="D305" s="29" t="s">
        <v>2129</v>
      </c>
      <c r="E305" s="24"/>
    </row>
    <row r="306" spans="1:12" ht="25.15" customHeight="1" x14ac:dyDescent="0.25">
      <c r="A306" s="29" t="s">
        <v>556</v>
      </c>
      <c r="B306" s="29" t="s">
        <v>1483</v>
      </c>
      <c r="D306" s="29" t="s">
        <v>2133</v>
      </c>
      <c r="E306" s="24"/>
    </row>
    <row r="307" spans="1:12" ht="25.15" customHeight="1" x14ac:dyDescent="0.25">
      <c r="A307" s="29" t="s">
        <v>561</v>
      </c>
      <c r="B307" s="29" t="s">
        <v>1484</v>
      </c>
      <c r="D307" s="29" t="s">
        <v>2126</v>
      </c>
      <c r="E307" s="24"/>
    </row>
    <row r="308" spans="1:12" ht="25.15" customHeight="1" x14ac:dyDescent="0.25">
      <c r="A308" s="29" t="s">
        <v>560</v>
      </c>
      <c r="B308" s="29" t="s">
        <v>1489</v>
      </c>
      <c r="D308" s="29" t="s">
        <v>2133</v>
      </c>
      <c r="E308" s="24"/>
    </row>
    <row r="309" spans="1:12" ht="25.15" customHeight="1" x14ac:dyDescent="0.25">
      <c r="A309" s="29" t="s">
        <v>563</v>
      </c>
      <c r="B309" s="29" t="s">
        <v>1491</v>
      </c>
      <c r="D309" s="29" t="s">
        <v>2126</v>
      </c>
      <c r="E309" s="24"/>
    </row>
    <row r="310" spans="1:12" ht="25.15" customHeight="1" x14ac:dyDescent="0.25">
      <c r="A310" s="29" t="s">
        <v>564</v>
      </c>
      <c r="B310" s="29" t="s">
        <v>1492</v>
      </c>
      <c r="D310" s="29" t="s">
        <v>2122</v>
      </c>
      <c r="E310" s="24"/>
    </row>
    <row r="311" spans="1:12" ht="25.15" customHeight="1" x14ac:dyDescent="0.25">
      <c r="A311" s="29" t="s">
        <v>568</v>
      </c>
      <c r="B311" s="29" t="s">
        <v>1502</v>
      </c>
      <c r="D311" s="29" t="s">
        <v>2129</v>
      </c>
      <c r="E311" s="24"/>
    </row>
    <row r="312" spans="1:12" ht="25.15" customHeight="1" x14ac:dyDescent="0.25">
      <c r="A312" s="29" t="s">
        <v>587</v>
      </c>
      <c r="B312" s="29" t="s">
        <v>1524</v>
      </c>
      <c r="D312" s="29" t="s">
        <v>2122</v>
      </c>
      <c r="E312" s="24"/>
    </row>
    <row r="313" spans="1:12" ht="25.15" customHeight="1" x14ac:dyDescent="0.25">
      <c r="A313" s="29" t="s">
        <v>567</v>
      </c>
      <c r="B313" s="29" t="s">
        <v>1526</v>
      </c>
      <c r="D313" s="29" t="s">
        <v>2127</v>
      </c>
      <c r="E313" s="24"/>
    </row>
    <row r="314" spans="1:12" ht="25.15" customHeight="1" x14ac:dyDescent="0.25">
      <c r="A314" s="29" t="s">
        <v>349</v>
      </c>
      <c r="B314" s="29" t="s">
        <v>1528</v>
      </c>
      <c r="D314" s="29" t="s">
        <v>2122</v>
      </c>
      <c r="E314" s="24"/>
    </row>
    <row r="315" spans="1:12" ht="25.15" customHeight="1" x14ac:dyDescent="0.25">
      <c r="A315" s="29" t="s">
        <v>133</v>
      </c>
      <c r="B315" s="29" t="s">
        <v>1532</v>
      </c>
      <c r="C315" s="29" t="s">
        <v>1537</v>
      </c>
      <c r="D315" s="29" t="s">
        <v>2127</v>
      </c>
      <c r="E315" s="24" t="s">
        <v>2507</v>
      </c>
      <c r="F315" s="24" t="s">
        <v>2059</v>
      </c>
      <c r="G315" s="29" t="s">
        <v>2514</v>
      </c>
      <c r="H315" s="24" t="s">
        <v>2385</v>
      </c>
      <c r="I315" s="24" t="s">
        <v>2062</v>
      </c>
      <c r="J315" s="24" t="s">
        <v>2063</v>
      </c>
      <c r="K315" s="24" t="s">
        <v>2062</v>
      </c>
      <c r="L315" s="24" t="s">
        <v>2196</v>
      </c>
    </row>
    <row r="316" spans="1:12" ht="25.15" customHeight="1" x14ac:dyDescent="0.25">
      <c r="A316" s="29" t="s">
        <v>295</v>
      </c>
      <c r="B316" s="29" t="s">
        <v>1534</v>
      </c>
      <c r="D316" s="29" t="s">
        <v>2129</v>
      </c>
      <c r="E316" s="24" t="s">
        <v>2163</v>
      </c>
      <c r="F316" s="24" t="s">
        <v>1209</v>
      </c>
      <c r="G316" s="29" t="s">
        <v>2277</v>
      </c>
      <c r="H316" s="24">
        <v>0</v>
      </c>
      <c r="I316" s="24">
        <v>0</v>
      </c>
      <c r="J316" s="24" t="s">
        <v>539</v>
      </c>
      <c r="K316" s="24">
        <v>0</v>
      </c>
      <c r="L316" s="24" t="s">
        <v>2173</v>
      </c>
    </row>
    <row r="317" spans="1:12" ht="25.15" customHeight="1" x14ac:dyDescent="0.25">
      <c r="A317" s="29" t="s">
        <v>342</v>
      </c>
      <c r="B317" s="29" t="s">
        <v>1535</v>
      </c>
      <c r="D317" s="29" t="s">
        <v>2126</v>
      </c>
      <c r="E317" s="24"/>
    </row>
    <row r="318" spans="1:12" ht="25.15" customHeight="1" x14ac:dyDescent="0.25">
      <c r="A318" s="29" t="s">
        <v>131</v>
      </c>
      <c r="B318" s="29" t="s">
        <v>1536</v>
      </c>
      <c r="C318" s="29" t="s">
        <v>1537</v>
      </c>
      <c r="D318" s="29" t="s">
        <v>2127</v>
      </c>
      <c r="E318" s="24" t="s">
        <v>2518</v>
      </c>
      <c r="F318" s="24" t="s">
        <v>2059</v>
      </c>
      <c r="G318" s="29" t="s">
        <v>2519</v>
      </c>
      <c r="H318" s="24">
        <v>1</v>
      </c>
      <c r="I318" s="24">
        <v>0</v>
      </c>
      <c r="J318" s="24" t="s">
        <v>539</v>
      </c>
      <c r="K318" s="24">
        <v>0</v>
      </c>
      <c r="L318" s="24" t="s">
        <v>2520</v>
      </c>
    </row>
    <row r="319" spans="1:12" ht="25.15" customHeight="1" x14ac:dyDescent="0.25">
      <c r="A319" s="29" t="s">
        <v>554</v>
      </c>
      <c r="B319" s="29" t="s">
        <v>1538</v>
      </c>
      <c r="D319" s="29" t="s">
        <v>2133</v>
      </c>
      <c r="E319" s="24"/>
    </row>
    <row r="320" spans="1:12" ht="25.15" customHeight="1" x14ac:dyDescent="0.25">
      <c r="A320" s="29" t="s">
        <v>257</v>
      </c>
      <c r="B320" s="29" t="s">
        <v>1542</v>
      </c>
      <c r="D320" s="29" t="s">
        <v>2130</v>
      </c>
      <c r="E320" s="24"/>
    </row>
    <row r="321" spans="1:12" ht="25.15" customHeight="1" x14ac:dyDescent="0.25">
      <c r="A321" s="29" t="s">
        <v>275</v>
      </c>
      <c r="B321" s="29" t="s">
        <v>1544</v>
      </c>
      <c r="D321" s="29" t="s">
        <v>2057</v>
      </c>
      <c r="E321" s="24"/>
    </row>
    <row r="322" spans="1:12" ht="25.15" customHeight="1" x14ac:dyDescent="0.25">
      <c r="A322" s="29" t="s">
        <v>187</v>
      </c>
      <c r="B322" s="29" t="s">
        <v>1547</v>
      </c>
      <c r="D322" s="29" t="s">
        <v>2130</v>
      </c>
      <c r="E322" s="24"/>
    </row>
    <row r="323" spans="1:12" ht="25.15" customHeight="1" x14ac:dyDescent="0.25">
      <c r="A323" s="29" t="s">
        <v>245</v>
      </c>
      <c r="B323" s="29" t="s">
        <v>1548</v>
      </c>
      <c r="D323" s="29" t="s">
        <v>2130</v>
      </c>
      <c r="E323" s="24"/>
    </row>
    <row r="324" spans="1:12" ht="25.15" customHeight="1" x14ac:dyDescent="0.25">
      <c r="A324" s="29" t="s">
        <v>346</v>
      </c>
      <c r="B324" s="29" t="s">
        <v>1549</v>
      </c>
      <c r="D324" s="29" t="s">
        <v>2122</v>
      </c>
      <c r="E324" s="24"/>
    </row>
    <row r="325" spans="1:12" ht="25.15" customHeight="1" x14ac:dyDescent="0.25">
      <c r="A325" s="29" t="s">
        <v>286</v>
      </c>
      <c r="B325" s="29" t="s">
        <v>1550</v>
      </c>
      <c r="D325" s="29" t="s">
        <v>2125</v>
      </c>
      <c r="E325" s="24"/>
    </row>
    <row r="326" spans="1:12" ht="25.15" customHeight="1" x14ac:dyDescent="0.25">
      <c r="A326" s="29" t="s">
        <v>19</v>
      </c>
      <c r="B326" s="29" t="s">
        <v>1552</v>
      </c>
      <c r="D326" s="29" t="s">
        <v>2126</v>
      </c>
      <c r="E326" s="24"/>
    </row>
    <row r="327" spans="1:12" ht="25.15" customHeight="1" x14ac:dyDescent="0.25">
      <c r="A327" s="29" t="s">
        <v>452</v>
      </c>
      <c r="B327" s="29" t="s">
        <v>1554</v>
      </c>
      <c r="D327" s="29" t="s">
        <v>1186</v>
      </c>
      <c r="E327" s="24"/>
    </row>
    <row r="328" spans="1:12" ht="25.15" customHeight="1" x14ac:dyDescent="0.25">
      <c r="A328" s="29" t="s">
        <v>90</v>
      </c>
      <c r="B328" s="29" t="s">
        <v>1555</v>
      </c>
      <c r="D328" s="29" t="s">
        <v>1186</v>
      </c>
      <c r="E328" s="24"/>
    </row>
    <row r="329" spans="1:12" ht="25.15" customHeight="1" x14ac:dyDescent="0.25">
      <c r="A329" s="29" t="s">
        <v>255</v>
      </c>
      <c r="B329" s="29" t="s">
        <v>1560</v>
      </c>
      <c r="D329" s="29" t="s">
        <v>2122</v>
      </c>
      <c r="E329" s="24"/>
    </row>
    <row r="330" spans="1:12" ht="25.15" customHeight="1" x14ac:dyDescent="0.25">
      <c r="A330" s="29" t="s">
        <v>114</v>
      </c>
      <c r="B330" s="29" t="s">
        <v>1565</v>
      </c>
      <c r="D330" s="29" t="s">
        <v>2133</v>
      </c>
      <c r="E330" s="24"/>
    </row>
    <row r="331" spans="1:12" ht="25.15" customHeight="1" x14ac:dyDescent="0.25">
      <c r="A331" s="29" t="s">
        <v>283</v>
      </c>
      <c r="B331" s="29" t="s">
        <v>1569</v>
      </c>
      <c r="D331" s="29" t="s">
        <v>2126</v>
      </c>
      <c r="E331" s="24"/>
    </row>
    <row r="332" spans="1:12" ht="25.15" customHeight="1" x14ac:dyDescent="0.25">
      <c r="A332" s="29" t="s">
        <v>80</v>
      </c>
      <c r="B332" s="29" t="s">
        <v>1572</v>
      </c>
      <c r="D332" s="29" t="s">
        <v>2133</v>
      </c>
      <c r="E332" s="24"/>
    </row>
    <row r="333" spans="1:12" ht="25.15" customHeight="1" x14ac:dyDescent="0.25">
      <c r="A333" s="29" t="s">
        <v>72</v>
      </c>
      <c r="B333" s="29" t="s">
        <v>1574</v>
      </c>
      <c r="D333" s="29" t="s">
        <v>1186</v>
      </c>
      <c r="E333" s="24"/>
    </row>
    <row r="334" spans="1:12" ht="25.15" customHeight="1" x14ac:dyDescent="0.25">
      <c r="A334" s="29" t="s">
        <v>406</v>
      </c>
      <c r="B334" s="29" t="s">
        <v>1523</v>
      </c>
      <c r="D334" s="29" t="s">
        <v>1186</v>
      </c>
      <c r="E334" s="24"/>
    </row>
    <row r="335" spans="1:12" ht="25.15" customHeight="1" x14ac:dyDescent="0.25">
      <c r="A335" s="29" t="s">
        <v>173</v>
      </c>
      <c r="B335" s="29" t="s">
        <v>1579</v>
      </c>
      <c r="D335" s="29" t="s">
        <v>2129</v>
      </c>
      <c r="E335" s="24"/>
    </row>
    <row r="336" spans="1:12" ht="25.15" customHeight="1" x14ac:dyDescent="0.25">
      <c r="A336" s="29" t="s">
        <v>442</v>
      </c>
      <c r="B336" s="29" t="s">
        <v>1584</v>
      </c>
      <c r="D336" s="29" t="s">
        <v>2131</v>
      </c>
      <c r="E336" s="24" t="s">
        <v>2166</v>
      </c>
      <c r="F336" s="24" t="s">
        <v>1209</v>
      </c>
      <c r="G336" s="29" t="s">
        <v>2278</v>
      </c>
      <c r="H336" s="24">
        <v>2</v>
      </c>
      <c r="I336" s="24">
        <v>0</v>
      </c>
      <c r="J336" s="24" t="s">
        <v>539</v>
      </c>
      <c r="K336" s="24">
        <v>0</v>
      </c>
      <c r="L336" s="24" t="s">
        <v>2174</v>
      </c>
    </row>
    <row r="337" spans="1:12" ht="25.15" customHeight="1" x14ac:dyDescent="0.25">
      <c r="A337" s="29" t="s">
        <v>34</v>
      </c>
      <c r="B337" s="29" t="s">
        <v>1585</v>
      </c>
      <c r="D337" s="29" t="s">
        <v>2124</v>
      </c>
      <c r="E337" s="24"/>
    </row>
    <row r="338" spans="1:12" ht="25.15" customHeight="1" x14ac:dyDescent="0.25">
      <c r="A338" s="29" t="s">
        <v>20</v>
      </c>
      <c r="B338" s="29" t="s">
        <v>1589</v>
      </c>
      <c r="C338" s="29" t="s">
        <v>1590</v>
      </c>
      <c r="D338" s="29" t="s">
        <v>2125</v>
      </c>
      <c r="E338" s="24" t="s">
        <v>2329</v>
      </c>
      <c r="F338" s="24" t="s">
        <v>2059</v>
      </c>
      <c r="G338" s="28" t="s">
        <v>2330</v>
      </c>
      <c r="H338" s="24" t="s">
        <v>2231</v>
      </c>
      <c r="I338" s="24" t="s">
        <v>2062</v>
      </c>
      <c r="J338" s="24" t="s">
        <v>2331</v>
      </c>
      <c r="K338" s="24" t="s">
        <v>2332</v>
      </c>
      <c r="L338" s="24" t="s">
        <v>2333</v>
      </c>
    </row>
    <row r="339" spans="1:12" ht="25.15" customHeight="1" x14ac:dyDescent="0.25">
      <c r="A339" s="29" t="s">
        <v>291</v>
      </c>
      <c r="B339" s="29" t="s">
        <v>1591</v>
      </c>
      <c r="C339" s="29" t="s">
        <v>1338</v>
      </c>
      <c r="D339" s="29" t="s">
        <v>2125</v>
      </c>
      <c r="E339" s="24" t="s">
        <v>2523</v>
      </c>
      <c r="F339" s="24" t="s">
        <v>2059</v>
      </c>
      <c r="G339" s="29" t="s">
        <v>2524</v>
      </c>
      <c r="H339" s="24" t="s">
        <v>2525</v>
      </c>
      <c r="I339" s="24" t="s">
        <v>2462</v>
      </c>
      <c r="J339" s="24" t="s">
        <v>2463</v>
      </c>
      <c r="K339" s="24" t="s">
        <v>2462</v>
      </c>
      <c r="L339" s="24" t="s">
        <v>2526</v>
      </c>
    </row>
    <row r="340" spans="1:12" ht="25.15" customHeight="1" x14ac:dyDescent="0.25">
      <c r="A340" s="29" t="s">
        <v>370</v>
      </c>
      <c r="B340" s="29" t="s">
        <v>1594</v>
      </c>
      <c r="C340" s="29" t="s">
        <v>1595</v>
      </c>
      <c r="D340" s="29" t="s">
        <v>2122</v>
      </c>
      <c r="E340" s="24" t="s">
        <v>2532</v>
      </c>
      <c r="F340" s="24" t="s">
        <v>2059</v>
      </c>
      <c r="G340" s="29" t="s">
        <v>2533</v>
      </c>
      <c r="H340" s="24" t="s">
        <v>2534</v>
      </c>
      <c r="I340" s="24" t="s">
        <v>2205</v>
      </c>
      <c r="J340" s="24" t="s">
        <v>2206</v>
      </c>
      <c r="K340" s="24" t="s">
        <v>2205</v>
      </c>
      <c r="L340" s="24" t="s">
        <v>2228</v>
      </c>
    </row>
    <row r="341" spans="1:12" ht="25.15" customHeight="1" x14ac:dyDescent="0.25">
      <c r="A341" s="29" t="s">
        <v>426</v>
      </c>
      <c r="B341" s="29" t="s">
        <v>1596</v>
      </c>
      <c r="D341" s="29" t="s">
        <v>2122</v>
      </c>
      <c r="E341" s="24"/>
    </row>
    <row r="342" spans="1:12" ht="25.15" customHeight="1" x14ac:dyDescent="0.25">
      <c r="A342" s="29" t="s">
        <v>160</v>
      </c>
      <c r="B342" s="29" t="s">
        <v>1597</v>
      </c>
      <c r="D342" s="29" t="s">
        <v>2125</v>
      </c>
      <c r="E342" s="24"/>
    </row>
    <row r="343" spans="1:12" ht="25.15" customHeight="1" x14ac:dyDescent="0.25">
      <c r="A343" s="29" t="s">
        <v>409</v>
      </c>
      <c r="B343" s="29" t="s">
        <v>1598</v>
      </c>
      <c r="C343" s="29" t="s">
        <v>1218</v>
      </c>
      <c r="D343" s="29" t="s">
        <v>2126</v>
      </c>
      <c r="E343" s="24" t="s">
        <v>2543</v>
      </c>
      <c r="F343" s="24" t="s">
        <v>2059</v>
      </c>
      <c r="G343" s="29" t="s">
        <v>2544</v>
      </c>
      <c r="H343" s="24" t="s">
        <v>2545</v>
      </c>
      <c r="I343" s="24" t="s">
        <v>2062</v>
      </c>
      <c r="J343" s="24" t="s">
        <v>2063</v>
      </c>
      <c r="K343" s="24" t="s">
        <v>2062</v>
      </c>
      <c r="L343" s="24" t="s">
        <v>2546</v>
      </c>
    </row>
    <row r="344" spans="1:12" ht="25.15" customHeight="1" x14ac:dyDescent="0.25">
      <c r="A344" s="29" t="s">
        <v>140</v>
      </c>
      <c r="B344" s="29" t="s">
        <v>1602</v>
      </c>
      <c r="D344" s="29" t="s">
        <v>2130</v>
      </c>
      <c r="E344" s="24"/>
    </row>
    <row r="345" spans="1:12" ht="25.15" customHeight="1" x14ac:dyDescent="0.25">
      <c r="A345" s="29" t="s">
        <v>155</v>
      </c>
      <c r="B345" s="29" t="s">
        <v>1604</v>
      </c>
      <c r="D345" s="29" t="s">
        <v>2130</v>
      </c>
      <c r="E345" s="24"/>
    </row>
    <row r="346" spans="1:12" ht="25.15" customHeight="1" x14ac:dyDescent="0.25">
      <c r="A346" s="29" t="s">
        <v>49</v>
      </c>
      <c r="B346" s="29" t="s">
        <v>1605</v>
      </c>
      <c r="D346" s="29" t="s">
        <v>2133</v>
      </c>
      <c r="E346" s="24"/>
    </row>
    <row r="347" spans="1:12" ht="25.15" customHeight="1" x14ac:dyDescent="0.25">
      <c r="A347" s="29" t="s">
        <v>36</v>
      </c>
      <c r="B347" s="29" t="s">
        <v>1606</v>
      </c>
      <c r="D347" s="29" t="s">
        <v>2126</v>
      </c>
      <c r="E347" s="24"/>
    </row>
    <row r="348" spans="1:12" ht="25.15" customHeight="1" x14ac:dyDescent="0.25">
      <c r="A348" s="29" t="s">
        <v>223</v>
      </c>
      <c r="B348" s="29" t="s">
        <v>1609</v>
      </c>
      <c r="D348" s="29" t="s">
        <v>2125</v>
      </c>
      <c r="E348" s="24"/>
    </row>
    <row r="349" spans="1:12" ht="25.15" customHeight="1" x14ac:dyDescent="0.25">
      <c r="A349" s="29" t="s">
        <v>13</v>
      </c>
      <c r="B349" s="29" t="s">
        <v>1615</v>
      </c>
      <c r="D349" s="29" t="s">
        <v>2130</v>
      </c>
      <c r="E349" s="24"/>
    </row>
    <row r="350" spans="1:12" ht="25.15" customHeight="1" x14ac:dyDescent="0.25">
      <c r="A350" s="29" t="s">
        <v>332</v>
      </c>
      <c r="B350" s="29" t="s">
        <v>1617</v>
      </c>
      <c r="D350" s="29" t="s">
        <v>2130</v>
      </c>
      <c r="E350" s="24"/>
    </row>
    <row r="351" spans="1:12" ht="25.15" customHeight="1" x14ac:dyDescent="0.25">
      <c r="A351" s="29" t="s">
        <v>159</v>
      </c>
      <c r="B351" s="29" t="s">
        <v>1618</v>
      </c>
      <c r="D351" s="29" t="s">
        <v>2129</v>
      </c>
      <c r="E351" s="24"/>
    </row>
    <row r="352" spans="1:12" ht="25.15" customHeight="1" x14ac:dyDescent="0.25">
      <c r="A352" s="29" t="s">
        <v>57</v>
      </c>
      <c r="B352" s="29" t="s">
        <v>1621</v>
      </c>
      <c r="D352" s="29" t="s">
        <v>2133</v>
      </c>
      <c r="E352" s="24"/>
    </row>
    <row r="353" spans="1:12" ht="25.15" customHeight="1" x14ac:dyDescent="0.25">
      <c r="A353" s="29" t="s">
        <v>467</v>
      </c>
      <c r="B353" s="29" t="s">
        <v>1623</v>
      </c>
      <c r="D353" s="29" t="s">
        <v>2129</v>
      </c>
      <c r="E353" s="24"/>
    </row>
    <row r="354" spans="1:12" ht="25.15" customHeight="1" x14ac:dyDescent="0.25">
      <c r="A354" s="29" t="s">
        <v>269</v>
      </c>
      <c r="B354" s="29" t="s">
        <v>2306</v>
      </c>
      <c r="C354" s="29" t="s">
        <v>1627</v>
      </c>
      <c r="D354" s="29" t="s">
        <v>2123</v>
      </c>
      <c r="E354" s="24" t="s">
        <v>2307</v>
      </c>
      <c r="F354" s="24" t="s">
        <v>2059</v>
      </c>
      <c r="G354" s="29" t="s">
        <v>2308</v>
      </c>
      <c r="H354" s="24">
        <v>2</v>
      </c>
      <c r="I354" s="24">
        <v>0</v>
      </c>
      <c r="J354" s="24" t="s">
        <v>539</v>
      </c>
      <c r="K354" s="24">
        <v>0</v>
      </c>
      <c r="L354" s="24" t="s">
        <v>2269</v>
      </c>
    </row>
    <row r="355" spans="1:12" ht="25.15" customHeight="1" x14ac:dyDescent="0.25">
      <c r="A355" s="29" t="s">
        <v>434</v>
      </c>
      <c r="B355" s="29" t="s">
        <v>1628</v>
      </c>
      <c r="D355" s="29" t="s">
        <v>2130</v>
      </c>
      <c r="E355" s="24"/>
    </row>
    <row r="356" spans="1:12" ht="25.15" customHeight="1" x14ac:dyDescent="0.25">
      <c r="A356" s="29" t="s">
        <v>171</v>
      </c>
      <c r="B356" s="29" t="s">
        <v>1629</v>
      </c>
      <c r="D356" s="29" t="s">
        <v>2123</v>
      </c>
      <c r="E356" s="24"/>
    </row>
    <row r="357" spans="1:12" ht="25.15" customHeight="1" x14ac:dyDescent="0.25">
      <c r="A357" s="29" t="s">
        <v>420</v>
      </c>
      <c r="B357" s="29" t="s">
        <v>1634</v>
      </c>
      <c r="C357" s="29" t="s">
        <v>1517</v>
      </c>
      <c r="D357" s="29" t="s">
        <v>2125</v>
      </c>
      <c r="E357" s="24" t="s">
        <v>2559</v>
      </c>
      <c r="F357" s="24" t="s">
        <v>2059</v>
      </c>
      <c r="G357" s="29" t="s">
        <v>539</v>
      </c>
      <c r="H357" s="24">
        <v>0</v>
      </c>
      <c r="I357" s="24">
        <v>0</v>
      </c>
      <c r="J357" s="24" t="s">
        <v>539</v>
      </c>
      <c r="K357" s="24">
        <v>0</v>
      </c>
      <c r="L357" s="24" t="s">
        <v>539</v>
      </c>
    </row>
    <row r="358" spans="1:12" ht="25.15" customHeight="1" x14ac:dyDescent="0.25">
      <c r="A358" s="29" t="s">
        <v>247</v>
      </c>
      <c r="B358" s="29" t="s">
        <v>1635</v>
      </c>
      <c r="D358" s="29" t="s">
        <v>2130</v>
      </c>
      <c r="E358" s="24"/>
    </row>
    <row r="359" spans="1:12" ht="25.15" customHeight="1" x14ac:dyDescent="0.25">
      <c r="A359" s="29" t="s">
        <v>151</v>
      </c>
      <c r="B359" s="29" t="s">
        <v>1636</v>
      </c>
      <c r="D359" s="29" t="s">
        <v>2129</v>
      </c>
      <c r="E359" s="24"/>
    </row>
    <row r="360" spans="1:12" ht="25.15" customHeight="1" x14ac:dyDescent="0.25">
      <c r="A360" s="29" t="s">
        <v>39</v>
      </c>
      <c r="B360" s="29" t="s">
        <v>1648</v>
      </c>
      <c r="D360" s="29" t="s">
        <v>1186</v>
      </c>
      <c r="E360" s="24"/>
    </row>
    <row r="361" spans="1:12" ht="25.15" customHeight="1" x14ac:dyDescent="0.25">
      <c r="A361" s="29" t="s">
        <v>70</v>
      </c>
      <c r="B361" s="29" t="s">
        <v>1649</v>
      </c>
      <c r="D361" s="29" t="s">
        <v>1186</v>
      </c>
      <c r="E361" s="24"/>
    </row>
    <row r="362" spans="1:12" ht="25.15" customHeight="1" x14ac:dyDescent="0.25">
      <c r="A362" s="29" t="s">
        <v>202</v>
      </c>
      <c r="B362" s="29" t="s">
        <v>1651</v>
      </c>
      <c r="D362" s="29" t="s">
        <v>2125</v>
      </c>
      <c r="E362" s="24"/>
    </row>
    <row r="363" spans="1:12" ht="25.15" customHeight="1" x14ac:dyDescent="0.25">
      <c r="A363" s="29" t="s">
        <v>150</v>
      </c>
      <c r="B363" s="29" t="s">
        <v>1652</v>
      </c>
      <c r="D363" s="29" t="s">
        <v>2129</v>
      </c>
      <c r="E363" s="24"/>
    </row>
    <row r="364" spans="1:12" ht="25.15" customHeight="1" x14ac:dyDescent="0.25">
      <c r="A364" s="29" t="s">
        <v>96</v>
      </c>
      <c r="B364" s="29" t="s">
        <v>1653</v>
      </c>
      <c r="D364" s="29" t="s">
        <v>2129</v>
      </c>
      <c r="E364" s="24"/>
    </row>
    <row r="365" spans="1:12" ht="25.15" customHeight="1" x14ac:dyDescent="0.25">
      <c r="A365" s="29" t="s">
        <v>394</v>
      </c>
      <c r="B365" s="29" t="s">
        <v>1657</v>
      </c>
      <c r="D365" s="29" t="s">
        <v>2129</v>
      </c>
      <c r="E365" s="24"/>
    </row>
    <row r="366" spans="1:12" ht="25.15" customHeight="1" x14ac:dyDescent="0.25">
      <c r="A366" s="29" t="s">
        <v>147</v>
      </c>
      <c r="B366" s="29" t="s">
        <v>1659</v>
      </c>
      <c r="D366" s="29" t="s">
        <v>2130</v>
      </c>
      <c r="E366" s="24"/>
    </row>
    <row r="367" spans="1:12" ht="25.15" customHeight="1" x14ac:dyDescent="0.25">
      <c r="A367" s="29" t="s">
        <v>381</v>
      </c>
      <c r="B367" s="29" t="s">
        <v>1660</v>
      </c>
      <c r="D367" s="29" t="s">
        <v>1186</v>
      </c>
      <c r="E367" s="24"/>
    </row>
    <row r="368" spans="1:12" ht="25.15" customHeight="1" x14ac:dyDescent="0.25">
      <c r="A368" s="29" t="s">
        <v>339</v>
      </c>
      <c r="B368" s="29" t="s">
        <v>1662</v>
      </c>
      <c r="D368" s="29" t="s">
        <v>2126</v>
      </c>
      <c r="E368" s="24"/>
    </row>
    <row r="369" spans="1:5" ht="25.15" customHeight="1" x14ac:dyDescent="0.25">
      <c r="A369" s="29" t="s">
        <v>392</v>
      </c>
      <c r="B369" s="29" t="s">
        <v>1665</v>
      </c>
      <c r="D369" s="29" t="s">
        <v>2125</v>
      </c>
      <c r="E369" s="24"/>
    </row>
    <row r="370" spans="1:5" ht="25.15" customHeight="1" x14ac:dyDescent="0.25">
      <c r="A370" s="29" t="s">
        <v>384</v>
      </c>
      <c r="B370" s="29" t="s">
        <v>1667</v>
      </c>
      <c r="D370" s="29" t="s">
        <v>2130</v>
      </c>
      <c r="E370" s="24"/>
    </row>
    <row r="371" spans="1:5" ht="25.15" customHeight="1" x14ac:dyDescent="0.25">
      <c r="A371" s="29" t="s">
        <v>211</v>
      </c>
      <c r="B371" s="29" t="s">
        <v>1672</v>
      </c>
      <c r="D371" s="29" t="s">
        <v>2123</v>
      </c>
      <c r="E371" s="24"/>
    </row>
    <row r="372" spans="1:5" ht="25.15" customHeight="1" x14ac:dyDescent="0.25">
      <c r="A372" s="29" t="s">
        <v>170</v>
      </c>
      <c r="B372" s="29" t="s">
        <v>1673</v>
      </c>
      <c r="D372" s="29" t="s">
        <v>2129</v>
      </c>
      <c r="E372" s="24"/>
    </row>
    <row r="373" spans="1:5" ht="25.15" customHeight="1" x14ac:dyDescent="0.25">
      <c r="A373" s="29" t="s">
        <v>408</v>
      </c>
      <c r="B373" s="29" t="s">
        <v>1675</v>
      </c>
      <c r="D373" s="29" t="s">
        <v>2122</v>
      </c>
      <c r="E373" s="24"/>
    </row>
    <row r="374" spans="1:5" ht="25.15" customHeight="1" x14ac:dyDescent="0.25">
      <c r="A374" s="29" t="s">
        <v>379</v>
      </c>
      <c r="B374" s="29" t="s">
        <v>1676</v>
      </c>
      <c r="D374" s="29" t="s">
        <v>2130</v>
      </c>
      <c r="E374" s="24"/>
    </row>
    <row r="375" spans="1:5" ht="25.15" customHeight="1" x14ac:dyDescent="0.25">
      <c r="A375" s="29" t="s">
        <v>385</v>
      </c>
      <c r="B375" s="29" t="s">
        <v>1678</v>
      </c>
      <c r="D375" s="29" t="s">
        <v>2130</v>
      </c>
      <c r="E375" s="24"/>
    </row>
    <row r="376" spans="1:5" ht="25.15" customHeight="1" x14ac:dyDescent="0.25">
      <c r="A376" s="29" t="s">
        <v>296</v>
      </c>
      <c r="B376" s="29" t="s">
        <v>1679</v>
      </c>
      <c r="D376" s="29" t="s">
        <v>2130</v>
      </c>
      <c r="E376" s="24"/>
    </row>
    <row r="377" spans="1:5" ht="25.15" customHeight="1" x14ac:dyDescent="0.25">
      <c r="A377" s="29" t="s">
        <v>363</v>
      </c>
      <c r="B377" s="29" t="s">
        <v>1680</v>
      </c>
      <c r="D377" s="29" t="s">
        <v>2129</v>
      </c>
      <c r="E377" s="24"/>
    </row>
    <row r="378" spans="1:5" ht="25.15" customHeight="1" x14ac:dyDescent="0.25">
      <c r="A378" s="29" t="s">
        <v>213</v>
      </c>
      <c r="B378" s="29" t="s">
        <v>1682</v>
      </c>
      <c r="D378" s="29" t="s">
        <v>2125</v>
      </c>
      <c r="E378" s="24"/>
    </row>
    <row r="379" spans="1:5" ht="25.15" customHeight="1" x14ac:dyDescent="0.25">
      <c r="A379" s="29" t="s">
        <v>28</v>
      </c>
      <c r="B379" s="29" t="s">
        <v>1683</v>
      </c>
      <c r="D379" s="29" t="s">
        <v>2133</v>
      </c>
      <c r="E379" s="24"/>
    </row>
    <row r="380" spans="1:5" ht="25.15" customHeight="1" x14ac:dyDescent="0.25">
      <c r="A380" s="29" t="s">
        <v>244</v>
      </c>
      <c r="B380" s="29" t="s">
        <v>1684</v>
      </c>
      <c r="D380" s="29" t="s">
        <v>2126</v>
      </c>
      <c r="E380" s="24"/>
    </row>
    <row r="381" spans="1:5" ht="25.15" customHeight="1" x14ac:dyDescent="0.25">
      <c r="A381" s="29" t="s">
        <v>44</v>
      </c>
      <c r="B381" s="29" t="s">
        <v>1687</v>
      </c>
      <c r="D381" s="29" t="s">
        <v>1186</v>
      </c>
      <c r="E381" s="24"/>
    </row>
    <row r="382" spans="1:5" ht="25.15" customHeight="1" x14ac:dyDescent="0.25">
      <c r="A382" s="29" t="s">
        <v>331</v>
      </c>
      <c r="B382" s="29" t="s">
        <v>1689</v>
      </c>
      <c r="D382" s="29" t="s">
        <v>1186</v>
      </c>
      <c r="E382" s="24"/>
    </row>
    <row r="383" spans="1:5" ht="25.15" customHeight="1" x14ac:dyDescent="0.25">
      <c r="A383" s="29" t="s">
        <v>436</v>
      </c>
      <c r="B383" s="29" t="s">
        <v>1691</v>
      </c>
      <c r="D383" s="29" t="s">
        <v>2130</v>
      </c>
      <c r="E383" s="24"/>
    </row>
    <row r="384" spans="1:5" ht="25.15" customHeight="1" x14ac:dyDescent="0.25">
      <c r="A384" s="29" t="s">
        <v>459</v>
      </c>
      <c r="B384" s="29" t="s">
        <v>1694</v>
      </c>
      <c r="D384" s="29" t="s">
        <v>2130</v>
      </c>
      <c r="E384" s="24"/>
    </row>
    <row r="385" spans="1:12" ht="25.15" customHeight="1" x14ac:dyDescent="0.25">
      <c r="A385" s="29" t="s">
        <v>158</v>
      </c>
      <c r="B385" s="29" t="s">
        <v>1700</v>
      </c>
      <c r="D385" s="29" t="s">
        <v>2125</v>
      </c>
      <c r="E385" s="24"/>
    </row>
    <row r="386" spans="1:12" ht="25.15" customHeight="1" x14ac:dyDescent="0.25">
      <c r="A386" s="29" t="s">
        <v>236</v>
      </c>
      <c r="B386" s="29" t="s">
        <v>1701</v>
      </c>
      <c r="D386" s="29" t="s">
        <v>2122</v>
      </c>
      <c r="E386" s="24"/>
    </row>
    <row r="387" spans="1:12" ht="25.15" customHeight="1" x14ac:dyDescent="0.25">
      <c r="A387" s="29" t="s">
        <v>191</v>
      </c>
      <c r="B387" s="29" t="s">
        <v>1703</v>
      </c>
      <c r="D387" s="29" t="s">
        <v>2130</v>
      </c>
      <c r="E387" s="24"/>
    </row>
    <row r="388" spans="1:12" ht="25.15" customHeight="1" x14ac:dyDescent="0.25">
      <c r="A388" s="29" t="s">
        <v>240</v>
      </c>
      <c r="B388" s="29" t="s">
        <v>2473</v>
      </c>
      <c r="C388" s="29" t="s">
        <v>1706</v>
      </c>
      <c r="D388" s="29" t="s">
        <v>2126</v>
      </c>
      <c r="E388" s="24" t="s">
        <v>2413</v>
      </c>
      <c r="F388" s="24" t="s">
        <v>1209</v>
      </c>
      <c r="G388" s="28" t="s">
        <v>2477</v>
      </c>
      <c r="H388" s="24" t="s">
        <v>2474</v>
      </c>
      <c r="I388" s="24" t="s">
        <v>2475</v>
      </c>
      <c r="J388" s="24" t="s">
        <v>2206</v>
      </c>
      <c r="K388" s="24" t="s">
        <v>2205</v>
      </c>
      <c r="L388" s="24" t="s">
        <v>2476</v>
      </c>
    </row>
    <row r="389" spans="1:12" ht="25.15" customHeight="1" x14ac:dyDescent="0.25">
      <c r="A389" s="29" t="s">
        <v>461</v>
      </c>
      <c r="B389" s="29" t="s">
        <v>1708</v>
      </c>
      <c r="D389" s="29" t="s">
        <v>2129</v>
      </c>
      <c r="E389" s="24"/>
    </row>
    <row r="390" spans="1:12" ht="25.15" customHeight="1" x14ac:dyDescent="0.25">
      <c r="A390" s="29" t="s">
        <v>183</v>
      </c>
      <c r="B390" s="29" t="s">
        <v>1714</v>
      </c>
      <c r="D390" s="29" t="s">
        <v>1186</v>
      </c>
      <c r="E390" s="24"/>
    </row>
    <row r="391" spans="1:12" ht="25.15" customHeight="1" x14ac:dyDescent="0.25">
      <c r="A391" s="29" t="s">
        <v>453</v>
      </c>
      <c r="B391" s="29" t="s">
        <v>1716</v>
      </c>
      <c r="D391" s="29" t="s">
        <v>1186</v>
      </c>
      <c r="E391" s="24"/>
    </row>
    <row r="392" spans="1:12" ht="25.15" customHeight="1" x14ac:dyDescent="0.25">
      <c r="A392" s="29" t="s">
        <v>383</v>
      </c>
      <c r="B392" s="29" t="s">
        <v>1717</v>
      </c>
      <c r="D392" s="29" t="s">
        <v>1186</v>
      </c>
      <c r="E392" s="24"/>
    </row>
    <row r="393" spans="1:12" ht="25.15" customHeight="1" x14ac:dyDescent="0.25">
      <c r="A393" s="29" t="s">
        <v>93</v>
      </c>
      <c r="B393" s="29" t="s">
        <v>1722</v>
      </c>
      <c r="D393" s="29" t="s">
        <v>2133</v>
      </c>
      <c r="E393" s="24"/>
    </row>
    <row r="394" spans="1:12" ht="25.15" customHeight="1" x14ac:dyDescent="0.25">
      <c r="A394" s="29" t="s">
        <v>94</v>
      </c>
      <c r="B394" s="29" t="s">
        <v>1723</v>
      </c>
      <c r="D394" s="29" t="s">
        <v>2133</v>
      </c>
      <c r="E394" s="24"/>
    </row>
    <row r="395" spans="1:12" ht="25.15" customHeight="1" x14ac:dyDescent="0.25">
      <c r="A395" s="29" t="s">
        <v>449</v>
      </c>
      <c r="B395" s="29" t="s">
        <v>1725</v>
      </c>
      <c r="D395" s="29" t="s">
        <v>1186</v>
      </c>
      <c r="E395" s="24"/>
    </row>
    <row r="396" spans="1:12" ht="25.15" customHeight="1" x14ac:dyDescent="0.25">
      <c r="A396" s="29" t="s">
        <v>390</v>
      </c>
      <c r="B396" s="29" t="s">
        <v>1727</v>
      </c>
      <c r="D396" s="29" t="s">
        <v>2130</v>
      </c>
      <c r="E396" s="24"/>
    </row>
    <row r="397" spans="1:12" ht="25.15" customHeight="1" x14ac:dyDescent="0.25">
      <c r="A397" s="29" t="s">
        <v>293</v>
      </c>
      <c r="B397" s="29" t="s">
        <v>1728</v>
      </c>
      <c r="D397" s="29" t="s">
        <v>2129</v>
      </c>
      <c r="E397" s="24"/>
    </row>
    <row r="398" spans="1:12" ht="25.15" customHeight="1" x14ac:dyDescent="0.25">
      <c r="A398" s="29" t="s">
        <v>143</v>
      </c>
      <c r="B398" s="29" t="s">
        <v>1730</v>
      </c>
      <c r="D398" s="29" t="s">
        <v>2133</v>
      </c>
      <c r="E398" s="24"/>
    </row>
    <row r="399" spans="1:12" ht="25.15" customHeight="1" x14ac:dyDescent="0.25">
      <c r="A399" s="29" t="s">
        <v>319</v>
      </c>
      <c r="B399" s="29" t="s">
        <v>1732</v>
      </c>
      <c r="D399" s="29" t="s">
        <v>1186</v>
      </c>
      <c r="E399" s="24"/>
    </row>
    <row r="400" spans="1:12" ht="25.15" customHeight="1" x14ac:dyDescent="0.25">
      <c r="A400" s="29" t="s">
        <v>228</v>
      </c>
      <c r="B400" s="29" t="s">
        <v>1735</v>
      </c>
      <c r="D400" s="29" t="s">
        <v>2133</v>
      </c>
      <c r="E400" s="24"/>
    </row>
    <row r="401" spans="1:12" ht="25.15" customHeight="1" x14ac:dyDescent="0.25">
      <c r="A401" s="29" t="s">
        <v>97</v>
      </c>
      <c r="B401" s="29" t="s">
        <v>1739</v>
      </c>
      <c r="D401" s="29" t="s">
        <v>2133</v>
      </c>
      <c r="E401" s="24"/>
    </row>
    <row r="402" spans="1:12" ht="25.15" customHeight="1" x14ac:dyDescent="0.25">
      <c r="A402" s="29" t="s">
        <v>446</v>
      </c>
      <c r="B402" s="29" t="s">
        <v>1740</v>
      </c>
      <c r="D402" s="29" t="s">
        <v>1186</v>
      </c>
      <c r="E402" s="24"/>
    </row>
    <row r="403" spans="1:12" ht="25.15" customHeight="1" x14ac:dyDescent="0.25">
      <c r="A403" s="29" t="s">
        <v>63</v>
      </c>
      <c r="B403" s="29" t="s">
        <v>1742</v>
      </c>
      <c r="D403" s="29" t="s">
        <v>2130</v>
      </c>
      <c r="E403" s="24"/>
    </row>
    <row r="404" spans="1:12" ht="25.15" customHeight="1" x14ac:dyDescent="0.25">
      <c r="A404" s="29" t="s">
        <v>425</v>
      </c>
      <c r="B404" s="29" t="s">
        <v>1748</v>
      </c>
      <c r="D404" s="29" t="s">
        <v>2129</v>
      </c>
      <c r="E404" s="24"/>
    </row>
    <row r="405" spans="1:12" ht="25.15" customHeight="1" x14ac:dyDescent="0.25">
      <c r="A405" s="29" t="s">
        <v>273</v>
      </c>
      <c r="B405" s="29" t="s">
        <v>1749</v>
      </c>
      <c r="D405" s="29" t="s">
        <v>2129</v>
      </c>
      <c r="E405" s="24"/>
    </row>
    <row r="406" spans="1:12" ht="25.15" customHeight="1" x14ac:dyDescent="0.25">
      <c r="A406" s="29" t="s">
        <v>180</v>
      </c>
      <c r="B406" s="29" t="s">
        <v>1750</v>
      </c>
      <c r="D406" s="29" t="s">
        <v>2129</v>
      </c>
      <c r="E406" s="24"/>
    </row>
    <row r="407" spans="1:12" ht="25.15" customHeight="1" x14ac:dyDescent="0.25">
      <c r="A407" s="29" t="s">
        <v>235</v>
      </c>
      <c r="B407" s="29" t="s">
        <v>1751</v>
      </c>
      <c r="D407" s="29" t="s">
        <v>2122</v>
      </c>
      <c r="E407" s="24"/>
    </row>
    <row r="408" spans="1:12" ht="25.15" customHeight="1" x14ac:dyDescent="0.25">
      <c r="A408" s="29" t="s">
        <v>387</v>
      </c>
      <c r="B408" s="29" t="s">
        <v>2447</v>
      </c>
      <c r="C408" s="29" t="s">
        <v>1306</v>
      </c>
      <c r="D408" s="29" t="s">
        <v>1186</v>
      </c>
      <c r="E408" s="24" t="s">
        <v>2448</v>
      </c>
      <c r="F408" s="24" t="s">
        <v>2059</v>
      </c>
      <c r="G408" s="29" t="s">
        <v>539</v>
      </c>
      <c r="H408" s="24">
        <v>0</v>
      </c>
      <c r="I408" s="24" t="s">
        <v>2169</v>
      </c>
      <c r="J408" s="24" t="s">
        <v>539</v>
      </c>
      <c r="K408" s="24">
        <v>0</v>
      </c>
      <c r="L408" s="24" t="s">
        <v>2449</v>
      </c>
    </row>
    <row r="409" spans="1:12" ht="25.15" customHeight="1" x14ac:dyDescent="0.25">
      <c r="A409" s="29" t="s">
        <v>126</v>
      </c>
      <c r="B409" s="29" t="s">
        <v>1756</v>
      </c>
      <c r="C409" s="29" t="s">
        <v>1308</v>
      </c>
      <c r="D409" s="29" t="s">
        <v>1186</v>
      </c>
      <c r="E409" s="24" t="s">
        <v>2360</v>
      </c>
      <c r="F409" s="24" t="s">
        <v>2059</v>
      </c>
      <c r="G409" s="29" t="s">
        <v>539</v>
      </c>
      <c r="H409" s="24">
        <v>0</v>
      </c>
      <c r="I409" s="24" t="s">
        <v>2169</v>
      </c>
      <c r="J409" s="24" t="s">
        <v>539</v>
      </c>
      <c r="K409" s="24">
        <v>0</v>
      </c>
      <c r="L409" s="24" t="s">
        <v>2170</v>
      </c>
    </row>
    <row r="410" spans="1:12" ht="25.15" customHeight="1" x14ac:dyDescent="0.25">
      <c r="A410" s="29" t="s">
        <v>32</v>
      </c>
      <c r="B410" s="29" t="s">
        <v>2412</v>
      </c>
      <c r="C410" s="29" t="s">
        <v>1759</v>
      </c>
      <c r="D410" s="29" t="s">
        <v>1186</v>
      </c>
      <c r="E410" s="24" t="s">
        <v>2413</v>
      </c>
      <c r="F410" s="24" t="s">
        <v>2059</v>
      </c>
      <c r="G410" s="29" t="s">
        <v>2423</v>
      </c>
      <c r="H410" s="24" t="s">
        <v>2424</v>
      </c>
      <c r="I410" s="24" t="s">
        <v>2425</v>
      </c>
      <c r="J410" s="24" t="s">
        <v>2426</v>
      </c>
      <c r="K410" s="24" t="s">
        <v>2425</v>
      </c>
      <c r="L410" s="24" t="s">
        <v>2427</v>
      </c>
    </row>
    <row r="411" spans="1:12" ht="25.15" customHeight="1" x14ac:dyDescent="0.25">
      <c r="A411" s="29" t="s">
        <v>195</v>
      </c>
      <c r="B411" s="29" t="s">
        <v>2428</v>
      </c>
      <c r="C411" s="29" t="s">
        <v>1264</v>
      </c>
      <c r="D411" s="29" t="s">
        <v>1186</v>
      </c>
      <c r="E411" s="24" t="s">
        <v>2429</v>
      </c>
      <c r="F411" s="24" t="s">
        <v>2059</v>
      </c>
      <c r="G411" s="29" t="s">
        <v>2430</v>
      </c>
      <c r="H411" s="24" t="s">
        <v>2431</v>
      </c>
      <c r="I411" s="24" t="s">
        <v>2415</v>
      </c>
      <c r="J411" s="24" t="s">
        <v>2414</v>
      </c>
      <c r="K411" s="24" t="s">
        <v>2415</v>
      </c>
      <c r="L411" s="24" t="s">
        <v>2432</v>
      </c>
    </row>
    <row r="412" spans="1:12" ht="25.15" customHeight="1" x14ac:dyDescent="0.25">
      <c r="A412" s="29" t="s">
        <v>43</v>
      </c>
      <c r="B412" s="29" t="s">
        <v>2440</v>
      </c>
      <c r="C412" s="29" t="s">
        <v>1759</v>
      </c>
      <c r="D412" s="29" t="s">
        <v>1186</v>
      </c>
      <c r="E412" s="24" t="s">
        <v>2441</v>
      </c>
      <c r="F412" s="24" t="s">
        <v>2059</v>
      </c>
      <c r="G412" s="29" t="s">
        <v>2442</v>
      </c>
      <c r="H412" s="24">
        <v>2</v>
      </c>
      <c r="I412" s="24">
        <v>0</v>
      </c>
      <c r="J412" s="24" t="s">
        <v>539</v>
      </c>
      <c r="K412" s="24">
        <v>0</v>
      </c>
      <c r="L412" s="24" t="s">
        <v>2191</v>
      </c>
    </row>
    <row r="413" spans="1:12" ht="25.15" customHeight="1" x14ac:dyDescent="0.25">
      <c r="A413" s="36" t="s">
        <v>212</v>
      </c>
      <c r="B413" s="29" t="s">
        <v>1762</v>
      </c>
      <c r="C413" s="29" t="s">
        <v>1759</v>
      </c>
      <c r="D413" s="29" t="s">
        <v>1186</v>
      </c>
      <c r="E413" s="24" t="s">
        <v>2167</v>
      </c>
      <c r="F413" s="24" t="s">
        <v>1487</v>
      </c>
      <c r="G413" s="29" t="s">
        <v>2279</v>
      </c>
      <c r="H413" s="24">
        <v>2</v>
      </c>
      <c r="I413" s="24">
        <v>0</v>
      </c>
      <c r="J413" s="24" t="s">
        <v>539</v>
      </c>
      <c r="K413" s="24">
        <v>0</v>
      </c>
      <c r="L413" s="24" t="s">
        <v>2280</v>
      </c>
    </row>
    <row r="414" spans="1:12" ht="25.15" customHeight="1" x14ac:dyDescent="0.25">
      <c r="A414" s="29" t="s">
        <v>262</v>
      </c>
      <c r="B414" s="29" t="s">
        <v>1763</v>
      </c>
      <c r="D414" s="29" t="s">
        <v>2130</v>
      </c>
      <c r="E414" s="24"/>
    </row>
    <row r="415" spans="1:12" ht="25.15" customHeight="1" x14ac:dyDescent="0.25">
      <c r="A415" s="29" t="s">
        <v>31</v>
      </c>
      <c r="B415" s="29" t="s">
        <v>1764</v>
      </c>
      <c r="D415" s="29" t="s">
        <v>1186</v>
      </c>
      <c r="E415" s="24"/>
    </row>
    <row r="416" spans="1:12" ht="25.15" customHeight="1" x14ac:dyDescent="0.25">
      <c r="A416" s="29" t="s">
        <v>454</v>
      </c>
      <c r="B416" s="29" t="s">
        <v>2467</v>
      </c>
      <c r="C416" s="29" t="s">
        <v>1525</v>
      </c>
      <c r="D416" s="29" t="s">
        <v>2122</v>
      </c>
      <c r="E416" s="24" t="s">
        <v>2134</v>
      </c>
      <c r="F416" s="24" t="s">
        <v>2059</v>
      </c>
      <c r="G416" s="29" t="s">
        <v>2468</v>
      </c>
      <c r="H416" s="24" t="s">
        <v>2385</v>
      </c>
      <c r="I416" s="24" t="s">
        <v>2062</v>
      </c>
      <c r="J416" s="24" t="s">
        <v>2063</v>
      </c>
      <c r="K416" s="24" t="s">
        <v>2062</v>
      </c>
      <c r="L416" s="24" t="s">
        <v>2469</v>
      </c>
    </row>
    <row r="417" spans="1:12" ht="25.15" customHeight="1" x14ac:dyDescent="0.25">
      <c r="A417" s="29" t="s">
        <v>239</v>
      </c>
      <c r="B417" s="29" t="s">
        <v>1766</v>
      </c>
      <c r="D417" s="29" t="s">
        <v>2127</v>
      </c>
      <c r="E417" s="24"/>
    </row>
    <row r="418" spans="1:12" ht="25.15" customHeight="1" x14ac:dyDescent="0.25">
      <c r="A418" s="29" t="s">
        <v>92</v>
      </c>
      <c r="B418" s="29" t="s">
        <v>1770</v>
      </c>
      <c r="D418" s="29" t="s">
        <v>2130</v>
      </c>
      <c r="E418" s="24"/>
    </row>
    <row r="419" spans="1:12" ht="25.15" customHeight="1" x14ac:dyDescent="0.25">
      <c r="A419" s="29" t="s">
        <v>374</v>
      </c>
      <c r="B419" s="29" t="s">
        <v>1774</v>
      </c>
      <c r="C419" s="29" t="s">
        <v>1775</v>
      </c>
      <c r="D419" s="29" t="s">
        <v>1186</v>
      </c>
      <c r="E419" s="24" t="s">
        <v>2450</v>
      </c>
      <c r="F419" s="24" t="s">
        <v>2059</v>
      </c>
      <c r="G419" s="29" t="s">
        <v>2451</v>
      </c>
      <c r="H419" s="24" t="s">
        <v>2452</v>
      </c>
      <c r="I419" s="24" t="s">
        <v>2062</v>
      </c>
      <c r="J419" s="24" t="s">
        <v>2063</v>
      </c>
      <c r="K419" s="24" t="s">
        <v>2062</v>
      </c>
      <c r="L419" s="24" t="s">
        <v>2187</v>
      </c>
    </row>
    <row r="420" spans="1:12" ht="25.15" customHeight="1" x14ac:dyDescent="0.25">
      <c r="A420" s="29" t="s">
        <v>220</v>
      </c>
      <c r="B420" s="29" t="s">
        <v>1782</v>
      </c>
      <c r="D420" s="29" t="s">
        <v>2131</v>
      </c>
      <c r="E420" s="24" t="s">
        <v>2159</v>
      </c>
      <c r="F420" s="24" t="s">
        <v>1209</v>
      </c>
      <c r="G420" s="29" t="s">
        <v>2281</v>
      </c>
      <c r="H420" s="24">
        <v>0</v>
      </c>
      <c r="I420" s="24">
        <v>0</v>
      </c>
      <c r="J420" s="24" t="s">
        <v>539</v>
      </c>
      <c r="K420" s="24">
        <v>0</v>
      </c>
      <c r="L420" s="24" t="s">
        <v>2251</v>
      </c>
    </row>
    <row r="421" spans="1:12" ht="25.15" customHeight="1" x14ac:dyDescent="0.25">
      <c r="A421" s="29" t="s">
        <v>197</v>
      </c>
      <c r="B421" s="29" t="s">
        <v>1784</v>
      </c>
      <c r="D421" s="29" t="s">
        <v>2126</v>
      </c>
      <c r="E421" s="24"/>
    </row>
    <row r="422" spans="1:12" ht="25.15" customHeight="1" x14ac:dyDescent="0.25">
      <c r="A422" s="29" t="s">
        <v>83</v>
      </c>
      <c r="B422" s="29" t="s">
        <v>1787</v>
      </c>
      <c r="D422" s="29" t="s">
        <v>2133</v>
      </c>
      <c r="E422" s="24"/>
    </row>
    <row r="423" spans="1:12" ht="25.15" customHeight="1" x14ac:dyDescent="0.25">
      <c r="A423" s="29" t="s">
        <v>141</v>
      </c>
      <c r="B423" s="29" t="s">
        <v>2551</v>
      </c>
      <c r="C423" s="29" t="s">
        <v>1338</v>
      </c>
      <c r="D423" s="29" t="s">
        <v>2122</v>
      </c>
      <c r="E423" s="24" t="s">
        <v>2552</v>
      </c>
      <c r="F423" s="24" t="s">
        <v>2059</v>
      </c>
      <c r="G423" s="29" t="s">
        <v>2553</v>
      </c>
      <c r="H423" s="24" t="s">
        <v>2231</v>
      </c>
      <c r="I423" s="24" t="s">
        <v>2554</v>
      </c>
      <c r="J423" s="24" t="s">
        <v>2063</v>
      </c>
      <c r="K423" s="24" t="s">
        <v>2062</v>
      </c>
      <c r="L423" s="24" t="s">
        <v>2555</v>
      </c>
    </row>
    <row r="424" spans="1:12" ht="25.15" customHeight="1" x14ac:dyDescent="0.25">
      <c r="A424" s="29" t="s">
        <v>348</v>
      </c>
      <c r="B424" s="29" t="s">
        <v>1789</v>
      </c>
      <c r="D424" s="29" t="s">
        <v>2122</v>
      </c>
      <c r="E424" s="24"/>
    </row>
    <row r="425" spans="1:12" ht="25.15" customHeight="1" x14ac:dyDescent="0.25">
      <c r="A425" s="29" t="s">
        <v>388</v>
      </c>
      <c r="B425" s="29" t="s">
        <v>1793</v>
      </c>
      <c r="D425" s="29" t="s">
        <v>2130</v>
      </c>
      <c r="E425" s="31">
        <v>43567</v>
      </c>
    </row>
    <row r="426" spans="1:12" ht="25.15" customHeight="1" x14ac:dyDescent="0.25">
      <c r="A426" s="29" t="s">
        <v>371</v>
      </c>
      <c r="B426" s="29" t="s">
        <v>1798</v>
      </c>
      <c r="D426" s="29" t="s">
        <v>2123</v>
      </c>
      <c r="E426" s="24" t="s">
        <v>2137</v>
      </c>
      <c r="F426" s="24" t="s">
        <v>1209</v>
      </c>
      <c r="G426" s="29" t="s">
        <v>2207</v>
      </c>
      <c r="H426" s="24" t="s">
        <v>2208</v>
      </c>
      <c r="I426" s="24" t="s">
        <v>2209</v>
      </c>
      <c r="J426" s="24" t="s">
        <v>2063</v>
      </c>
      <c r="K426" s="24" t="s">
        <v>2062</v>
      </c>
      <c r="L426" s="24" t="s">
        <v>2187</v>
      </c>
    </row>
    <row r="427" spans="1:12" ht="25.15" customHeight="1" x14ac:dyDescent="0.25">
      <c r="A427" s="29" t="s">
        <v>153</v>
      </c>
      <c r="B427" s="29" t="s">
        <v>1802</v>
      </c>
      <c r="D427" s="29" t="s">
        <v>2123</v>
      </c>
      <c r="E427" s="24" t="s">
        <v>2137</v>
      </c>
      <c r="F427" s="24" t="s">
        <v>1209</v>
      </c>
      <c r="G427" s="29" t="s">
        <v>2207</v>
      </c>
      <c r="H427" s="24" t="s">
        <v>2208</v>
      </c>
      <c r="I427" s="24" t="s">
        <v>2209</v>
      </c>
      <c r="J427" s="24" t="s">
        <v>2063</v>
      </c>
      <c r="K427" s="24" t="s">
        <v>2062</v>
      </c>
      <c r="L427" s="24" t="s">
        <v>2187</v>
      </c>
    </row>
    <row r="428" spans="1:12" ht="25.15" customHeight="1" x14ac:dyDescent="0.25">
      <c r="A428" s="29" t="s">
        <v>300</v>
      </c>
      <c r="B428" s="29" t="s">
        <v>1808</v>
      </c>
      <c r="D428" s="29" t="s">
        <v>2122</v>
      </c>
      <c r="E428" s="24" t="s">
        <v>2137</v>
      </c>
      <c r="F428" s="24" t="s">
        <v>1209</v>
      </c>
      <c r="G428" s="29" t="s">
        <v>2207</v>
      </c>
      <c r="H428" s="24" t="s">
        <v>2208</v>
      </c>
      <c r="I428" s="24" t="s">
        <v>2209</v>
      </c>
      <c r="J428" s="24" t="s">
        <v>2063</v>
      </c>
      <c r="K428" s="24" t="s">
        <v>2062</v>
      </c>
      <c r="L428" s="24" t="s">
        <v>2187</v>
      </c>
    </row>
    <row r="429" spans="1:12" ht="25.15" customHeight="1" x14ac:dyDescent="0.25">
      <c r="A429" s="29" t="s">
        <v>294</v>
      </c>
      <c r="B429" s="29" t="s">
        <v>1811</v>
      </c>
      <c r="D429" s="29" t="s">
        <v>2123</v>
      </c>
      <c r="E429" s="24" t="s">
        <v>2137</v>
      </c>
      <c r="F429" s="24" t="s">
        <v>1209</v>
      </c>
      <c r="G429" s="29" t="s">
        <v>2207</v>
      </c>
      <c r="H429" s="24" t="s">
        <v>2208</v>
      </c>
      <c r="I429" s="24" t="s">
        <v>2209</v>
      </c>
      <c r="J429" s="24" t="s">
        <v>2063</v>
      </c>
      <c r="K429" s="24" t="s">
        <v>2062</v>
      </c>
      <c r="L429" s="24" t="s">
        <v>2187</v>
      </c>
    </row>
    <row r="430" spans="1:12" ht="25.15" customHeight="1" x14ac:dyDescent="0.25">
      <c r="A430" s="29" t="s">
        <v>306</v>
      </c>
      <c r="B430" s="29" t="s">
        <v>1816</v>
      </c>
      <c r="D430" s="29" t="s">
        <v>2123</v>
      </c>
      <c r="E430" s="24" t="s">
        <v>2137</v>
      </c>
      <c r="F430" s="24" t="s">
        <v>1209</v>
      </c>
      <c r="G430" s="29" t="s">
        <v>2207</v>
      </c>
      <c r="H430" s="24" t="s">
        <v>2208</v>
      </c>
      <c r="I430" s="24" t="s">
        <v>2209</v>
      </c>
      <c r="J430" s="24" t="s">
        <v>2063</v>
      </c>
      <c r="K430" s="24" t="s">
        <v>2062</v>
      </c>
      <c r="L430" s="24" t="s">
        <v>2187</v>
      </c>
    </row>
    <row r="431" spans="1:12" ht="25.15" customHeight="1" x14ac:dyDescent="0.25">
      <c r="A431" s="29" t="s">
        <v>267</v>
      </c>
      <c r="B431" s="29" t="s">
        <v>1818</v>
      </c>
      <c r="D431" s="29" t="s">
        <v>2123</v>
      </c>
      <c r="E431" s="24" t="s">
        <v>2137</v>
      </c>
      <c r="F431" s="24" t="s">
        <v>1209</v>
      </c>
      <c r="G431" s="29" t="s">
        <v>2207</v>
      </c>
      <c r="H431" s="24" t="s">
        <v>2208</v>
      </c>
      <c r="I431" s="24" t="s">
        <v>2209</v>
      </c>
      <c r="J431" s="24" t="s">
        <v>2063</v>
      </c>
      <c r="K431" s="24" t="s">
        <v>2062</v>
      </c>
      <c r="L431" s="24" t="s">
        <v>2187</v>
      </c>
    </row>
    <row r="432" spans="1:12" ht="25.15" customHeight="1" x14ac:dyDescent="0.25">
      <c r="A432" s="29" t="s">
        <v>196</v>
      </c>
      <c r="B432" s="29" t="s">
        <v>1820</v>
      </c>
      <c r="D432" s="29" t="s">
        <v>2133</v>
      </c>
      <c r="E432" s="24" t="s">
        <v>2137</v>
      </c>
      <c r="F432" s="24" t="s">
        <v>1209</v>
      </c>
      <c r="G432" s="29" t="s">
        <v>2207</v>
      </c>
      <c r="H432" s="24" t="s">
        <v>2208</v>
      </c>
      <c r="I432" s="24" t="s">
        <v>2209</v>
      </c>
      <c r="J432" s="24" t="s">
        <v>2063</v>
      </c>
      <c r="K432" s="24" t="s">
        <v>2062</v>
      </c>
      <c r="L432" s="24" t="s">
        <v>2187</v>
      </c>
    </row>
    <row r="433" spans="1:12" ht="25.15" customHeight="1" x14ac:dyDescent="0.25">
      <c r="A433" s="29" t="s">
        <v>214</v>
      </c>
      <c r="B433" s="29" t="s">
        <v>2321</v>
      </c>
      <c r="C433" s="29" t="s">
        <v>1627</v>
      </c>
      <c r="D433" s="29" t="s">
        <v>2123</v>
      </c>
      <c r="E433" s="24" t="s">
        <v>2322</v>
      </c>
      <c r="F433" s="24" t="s">
        <v>2059</v>
      </c>
      <c r="G433" s="29" t="s">
        <v>2323</v>
      </c>
      <c r="H433" s="24">
        <v>3</v>
      </c>
      <c r="I433" s="24">
        <v>0</v>
      </c>
      <c r="J433" s="24" t="s">
        <v>539</v>
      </c>
      <c r="K433" s="24">
        <v>0</v>
      </c>
      <c r="L433" s="24" t="s">
        <v>2170</v>
      </c>
    </row>
    <row r="434" spans="1:12" ht="25.15" customHeight="1" x14ac:dyDescent="0.25">
      <c r="A434" s="29" t="s">
        <v>303</v>
      </c>
      <c r="B434" s="29" t="s">
        <v>1822</v>
      </c>
      <c r="D434" s="29" t="s">
        <v>2123</v>
      </c>
      <c r="E434" s="24" t="s">
        <v>2137</v>
      </c>
      <c r="F434" s="24" t="s">
        <v>1209</v>
      </c>
      <c r="G434" s="29" t="s">
        <v>2207</v>
      </c>
      <c r="H434" s="24" t="s">
        <v>2208</v>
      </c>
      <c r="I434" s="24" t="s">
        <v>2209</v>
      </c>
      <c r="J434" s="24" t="s">
        <v>2063</v>
      </c>
      <c r="K434" s="24" t="s">
        <v>2062</v>
      </c>
      <c r="L434" s="24" t="s">
        <v>2187</v>
      </c>
    </row>
    <row r="435" spans="1:12" ht="25.15" customHeight="1" x14ac:dyDescent="0.25">
      <c r="A435" s="29" t="s">
        <v>458</v>
      </c>
      <c r="B435" s="29" t="s">
        <v>1828</v>
      </c>
      <c r="D435" s="29" t="s">
        <v>2122</v>
      </c>
      <c r="E435" s="24" t="s">
        <v>2137</v>
      </c>
      <c r="F435" s="24" t="s">
        <v>1209</v>
      </c>
      <c r="G435" s="29" t="s">
        <v>2207</v>
      </c>
      <c r="H435" s="24" t="s">
        <v>2208</v>
      </c>
      <c r="I435" s="24" t="s">
        <v>2209</v>
      </c>
      <c r="J435" s="24" t="s">
        <v>2063</v>
      </c>
      <c r="K435" s="24" t="s">
        <v>2062</v>
      </c>
      <c r="L435" s="24" t="s">
        <v>2187</v>
      </c>
    </row>
    <row r="436" spans="1:12" ht="25.15" customHeight="1" x14ac:dyDescent="0.25">
      <c r="A436" s="29" t="s">
        <v>215</v>
      </c>
      <c r="B436" s="29" t="s">
        <v>1833</v>
      </c>
      <c r="D436" s="29" t="s">
        <v>2123</v>
      </c>
      <c r="E436" s="24" t="s">
        <v>2137</v>
      </c>
      <c r="F436" s="24" t="s">
        <v>1209</v>
      </c>
      <c r="G436" s="29" t="s">
        <v>2207</v>
      </c>
      <c r="H436" s="24" t="s">
        <v>2208</v>
      </c>
      <c r="I436" s="24" t="s">
        <v>2209</v>
      </c>
      <c r="J436" s="24" t="s">
        <v>2063</v>
      </c>
      <c r="K436" s="24" t="s">
        <v>2062</v>
      </c>
      <c r="L436" s="24" t="s">
        <v>2187</v>
      </c>
    </row>
    <row r="437" spans="1:12" ht="25.15" customHeight="1" x14ac:dyDescent="0.25">
      <c r="A437" s="29" t="s">
        <v>154</v>
      </c>
      <c r="B437" s="29" t="s">
        <v>1835</v>
      </c>
      <c r="D437" s="29" t="s">
        <v>2122</v>
      </c>
      <c r="E437" s="24" t="s">
        <v>2137</v>
      </c>
      <c r="F437" s="24" t="s">
        <v>1209</v>
      </c>
      <c r="G437" s="29" t="s">
        <v>2207</v>
      </c>
      <c r="H437" s="24" t="s">
        <v>2208</v>
      </c>
      <c r="I437" s="24" t="s">
        <v>2209</v>
      </c>
      <c r="J437" s="24" t="s">
        <v>2063</v>
      </c>
      <c r="K437" s="24" t="s">
        <v>2062</v>
      </c>
      <c r="L437" s="24" t="s">
        <v>2187</v>
      </c>
    </row>
    <row r="438" spans="1:12" ht="25.15" customHeight="1" x14ac:dyDescent="0.25">
      <c r="A438" s="29" t="s">
        <v>53</v>
      </c>
      <c r="B438" s="29" t="s">
        <v>1836</v>
      </c>
      <c r="D438" s="29" t="s">
        <v>2133</v>
      </c>
      <c r="E438" s="24" t="s">
        <v>2137</v>
      </c>
      <c r="F438" s="24" t="s">
        <v>1209</v>
      </c>
      <c r="G438" s="29" t="s">
        <v>2207</v>
      </c>
      <c r="H438" s="24" t="s">
        <v>2208</v>
      </c>
      <c r="I438" s="24" t="s">
        <v>2209</v>
      </c>
      <c r="J438" s="24" t="s">
        <v>2063</v>
      </c>
      <c r="K438" s="24" t="s">
        <v>2062</v>
      </c>
      <c r="L438" s="24" t="s">
        <v>2187</v>
      </c>
    </row>
    <row r="439" spans="1:12" ht="25.15" customHeight="1" x14ac:dyDescent="0.25">
      <c r="A439" s="29" t="s">
        <v>364</v>
      </c>
      <c r="B439" s="29" t="s">
        <v>1843</v>
      </c>
      <c r="D439" s="29" t="s">
        <v>2123</v>
      </c>
      <c r="E439" s="24" t="s">
        <v>2137</v>
      </c>
      <c r="F439" s="24" t="s">
        <v>1209</v>
      </c>
      <c r="G439" s="29" t="s">
        <v>2207</v>
      </c>
      <c r="H439" s="24" t="s">
        <v>2208</v>
      </c>
      <c r="I439" s="24" t="s">
        <v>2209</v>
      </c>
      <c r="J439" s="24" t="s">
        <v>2063</v>
      </c>
      <c r="K439" s="24" t="s">
        <v>2062</v>
      </c>
      <c r="L439" s="24" t="s">
        <v>2187</v>
      </c>
    </row>
    <row r="440" spans="1:12" ht="25.15" customHeight="1" x14ac:dyDescent="0.25">
      <c r="A440" s="29" t="s">
        <v>226</v>
      </c>
      <c r="B440" s="29" t="s">
        <v>1844</v>
      </c>
      <c r="D440" s="29" t="s">
        <v>2133</v>
      </c>
      <c r="E440" s="24" t="s">
        <v>2137</v>
      </c>
      <c r="F440" s="24" t="s">
        <v>1209</v>
      </c>
      <c r="G440" s="29" t="s">
        <v>2207</v>
      </c>
      <c r="H440" s="24" t="s">
        <v>2208</v>
      </c>
      <c r="I440" s="24" t="s">
        <v>2209</v>
      </c>
      <c r="J440" s="24" t="s">
        <v>2063</v>
      </c>
      <c r="K440" s="24" t="s">
        <v>2062</v>
      </c>
      <c r="L440" s="24" t="s">
        <v>2187</v>
      </c>
    </row>
    <row r="441" spans="1:12" ht="25.15" customHeight="1" x14ac:dyDescent="0.25">
      <c r="A441" s="29" t="s">
        <v>230</v>
      </c>
      <c r="B441" s="29" t="s">
        <v>1846</v>
      </c>
      <c r="D441" s="29" t="s">
        <v>2133</v>
      </c>
      <c r="E441" s="24" t="s">
        <v>2137</v>
      </c>
      <c r="F441" s="24" t="s">
        <v>1209</v>
      </c>
      <c r="G441" s="29" t="s">
        <v>2207</v>
      </c>
      <c r="H441" s="24" t="s">
        <v>2208</v>
      </c>
      <c r="I441" s="24" t="s">
        <v>2209</v>
      </c>
      <c r="J441" s="24" t="s">
        <v>2063</v>
      </c>
      <c r="K441" s="24" t="s">
        <v>2062</v>
      </c>
      <c r="L441" s="24" t="s">
        <v>2187</v>
      </c>
    </row>
    <row r="442" spans="1:12" ht="25.15" customHeight="1" x14ac:dyDescent="0.25">
      <c r="A442" s="29" t="s">
        <v>89</v>
      </c>
      <c r="B442" s="29" t="s">
        <v>1847</v>
      </c>
      <c r="D442" s="29" t="s">
        <v>2133</v>
      </c>
      <c r="E442" s="24" t="s">
        <v>2137</v>
      </c>
      <c r="F442" s="24" t="s">
        <v>1209</v>
      </c>
      <c r="G442" s="29" t="s">
        <v>2207</v>
      </c>
      <c r="H442" s="24" t="s">
        <v>2208</v>
      </c>
      <c r="I442" s="24" t="s">
        <v>2209</v>
      </c>
      <c r="J442" s="24" t="s">
        <v>2063</v>
      </c>
      <c r="K442" s="24" t="s">
        <v>2062</v>
      </c>
      <c r="L442" s="24" t="s">
        <v>2187</v>
      </c>
    </row>
    <row r="443" spans="1:12" ht="25.15" customHeight="1" x14ac:dyDescent="0.25">
      <c r="A443" s="29" t="s">
        <v>229</v>
      </c>
      <c r="B443" s="29" t="s">
        <v>1848</v>
      </c>
      <c r="D443" s="29" t="s">
        <v>2133</v>
      </c>
      <c r="E443" s="24" t="s">
        <v>2137</v>
      </c>
      <c r="F443" s="24" t="s">
        <v>1209</v>
      </c>
      <c r="G443" s="29" t="s">
        <v>2207</v>
      </c>
      <c r="H443" s="24" t="s">
        <v>2208</v>
      </c>
      <c r="I443" s="24" t="s">
        <v>2209</v>
      </c>
      <c r="J443" s="24" t="s">
        <v>2063</v>
      </c>
      <c r="K443" s="24" t="s">
        <v>2062</v>
      </c>
      <c r="L443" s="24" t="s">
        <v>2187</v>
      </c>
    </row>
    <row r="444" spans="1:12" ht="25.15" customHeight="1" x14ac:dyDescent="0.25">
      <c r="A444" s="29" t="s">
        <v>233</v>
      </c>
      <c r="B444" s="29" t="s">
        <v>1852</v>
      </c>
      <c r="D444" s="29" t="s">
        <v>2133</v>
      </c>
      <c r="E444" s="24" t="s">
        <v>2137</v>
      </c>
      <c r="F444" s="24" t="s">
        <v>1209</v>
      </c>
      <c r="G444" s="29" t="s">
        <v>2207</v>
      </c>
      <c r="H444" s="24" t="s">
        <v>2208</v>
      </c>
      <c r="I444" s="24" t="s">
        <v>2209</v>
      </c>
      <c r="J444" s="24" t="s">
        <v>2063</v>
      </c>
      <c r="K444" s="24" t="s">
        <v>2062</v>
      </c>
      <c r="L444" s="24" t="s">
        <v>2187</v>
      </c>
    </row>
    <row r="445" spans="1:12" ht="25.15" customHeight="1" x14ac:dyDescent="0.25">
      <c r="A445" s="29" t="s">
        <v>279</v>
      </c>
      <c r="B445" s="29" t="s">
        <v>1854</v>
      </c>
      <c r="D445" s="29" t="s">
        <v>2124</v>
      </c>
      <c r="E445" s="24" t="s">
        <v>2137</v>
      </c>
      <c r="F445" s="24" t="s">
        <v>1209</v>
      </c>
      <c r="G445" s="29" t="s">
        <v>2207</v>
      </c>
      <c r="H445" s="24" t="s">
        <v>2208</v>
      </c>
      <c r="I445" s="24" t="s">
        <v>2209</v>
      </c>
      <c r="J445" s="24" t="s">
        <v>2063</v>
      </c>
      <c r="K445" s="24" t="s">
        <v>2062</v>
      </c>
      <c r="L445" s="24" t="s">
        <v>2187</v>
      </c>
    </row>
    <row r="446" spans="1:12" ht="25.15" customHeight="1" x14ac:dyDescent="0.25">
      <c r="A446" s="29" t="s">
        <v>278</v>
      </c>
      <c r="B446" s="29" t="s">
        <v>1856</v>
      </c>
      <c r="D446" s="29" t="s">
        <v>2057</v>
      </c>
      <c r="E446" s="24" t="s">
        <v>2137</v>
      </c>
      <c r="F446" s="24" t="s">
        <v>1209</v>
      </c>
      <c r="G446" s="29" t="s">
        <v>2207</v>
      </c>
      <c r="H446" s="24" t="s">
        <v>2208</v>
      </c>
      <c r="I446" s="24" t="s">
        <v>2209</v>
      </c>
      <c r="J446" s="24" t="s">
        <v>2063</v>
      </c>
      <c r="K446" s="24" t="s">
        <v>2062</v>
      </c>
      <c r="L446" s="24" t="s">
        <v>2187</v>
      </c>
    </row>
    <row r="447" spans="1:12" ht="25.15" customHeight="1" x14ac:dyDescent="0.25">
      <c r="A447" s="29" t="s">
        <v>451</v>
      </c>
      <c r="B447" s="29" t="s">
        <v>1857</v>
      </c>
      <c r="D447" s="29" t="s">
        <v>1186</v>
      </c>
      <c r="E447" s="24" t="s">
        <v>2137</v>
      </c>
      <c r="F447" s="24" t="s">
        <v>1209</v>
      </c>
      <c r="G447" s="29" t="s">
        <v>2207</v>
      </c>
      <c r="H447" s="24" t="s">
        <v>2208</v>
      </c>
      <c r="I447" s="24" t="s">
        <v>2209</v>
      </c>
      <c r="J447" s="24" t="s">
        <v>2063</v>
      </c>
      <c r="K447" s="24" t="s">
        <v>2062</v>
      </c>
      <c r="L447" s="24" t="s">
        <v>2187</v>
      </c>
    </row>
    <row r="448" spans="1:12" ht="25.15" customHeight="1" x14ac:dyDescent="0.25">
      <c r="A448" s="29" t="s">
        <v>304</v>
      </c>
      <c r="B448" s="29" t="s">
        <v>1858</v>
      </c>
      <c r="D448" s="29" t="s">
        <v>2122</v>
      </c>
      <c r="E448" s="24" t="s">
        <v>2137</v>
      </c>
      <c r="F448" s="24" t="s">
        <v>1209</v>
      </c>
      <c r="G448" s="29" t="s">
        <v>2207</v>
      </c>
      <c r="H448" s="24" t="s">
        <v>2208</v>
      </c>
      <c r="I448" s="24" t="s">
        <v>2209</v>
      </c>
      <c r="J448" s="24" t="s">
        <v>2063</v>
      </c>
      <c r="K448" s="24" t="s">
        <v>2062</v>
      </c>
      <c r="L448" s="24" t="s">
        <v>2187</v>
      </c>
    </row>
    <row r="449" spans="1:12" ht="25.15" customHeight="1" x14ac:dyDescent="0.25">
      <c r="A449" s="29" t="s">
        <v>280</v>
      </c>
      <c r="B449" s="29" t="s">
        <v>1859</v>
      </c>
      <c r="D449" s="29" t="s">
        <v>2057</v>
      </c>
      <c r="E449" s="24" t="s">
        <v>2137</v>
      </c>
      <c r="F449" s="24" t="s">
        <v>1209</v>
      </c>
      <c r="G449" s="29" t="s">
        <v>2207</v>
      </c>
      <c r="H449" s="24" t="s">
        <v>2208</v>
      </c>
      <c r="I449" s="24" t="s">
        <v>2209</v>
      </c>
      <c r="J449" s="24" t="s">
        <v>2063</v>
      </c>
      <c r="K449" s="24" t="s">
        <v>2062</v>
      </c>
      <c r="L449" s="24" t="s">
        <v>2187</v>
      </c>
    </row>
    <row r="450" spans="1:12" ht="25.15" customHeight="1" x14ac:dyDescent="0.25">
      <c r="A450" s="29" t="s">
        <v>161</v>
      </c>
      <c r="B450" s="29" t="s">
        <v>1861</v>
      </c>
      <c r="D450" s="29" t="s">
        <v>2124</v>
      </c>
      <c r="E450" s="24" t="s">
        <v>2137</v>
      </c>
      <c r="F450" s="24" t="s">
        <v>1209</v>
      </c>
      <c r="G450" s="29" t="s">
        <v>2207</v>
      </c>
      <c r="H450" s="24" t="s">
        <v>2208</v>
      </c>
      <c r="I450" s="24" t="s">
        <v>2209</v>
      </c>
      <c r="J450" s="24" t="s">
        <v>2063</v>
      </c>
      <c r="K450" s="24" t="s">
        <v>2062</v>
      </c>
      <c r="L450" s="24" t="s">
        <v>2187</v>
      </c>
    </row>
    <row r="451" spans="1:12" ht="25.15" customHeight="1" x14ac:dyDescent="0.25">
      <c r="A451" s="29" t="s">
        <v>464</v>
      </c>
      <c r="B451" s="29" t="s">
        <v>1862</v>
      </c>
      <c r="D451" s="29" t="s">
        <v>2123</v>
      </c>
      <c r="E451" s="24" t="s">
        <v>2137</v>
      </c>
      <c r="F451" s="24" t="s">
        <v>1209</v>
      </c>
      <c r="G451" s="29" t="s">
        <v>2207</v>
      </c>
      <c r="H451" s="24" t="s">
        <v>2208</v>
      </c>
      <c r="I451" s="24" t="s">
        <v>2209</v>
      </c>
      <c r="J451" s="24" t="s">
        <v>2063</v>
      </c>
      <c r="K451" s="24" t="s">
        <v>2062</v>
      </c>
      <c r="L451" s="24" t="s">
        <v>2187</v>
      </c>
    </row>
    <row r="452" spans="1:12" ht="25.15" customHeight="1" x14ac:dyDescent="0.25">
      <c r="A452" s="29" t="s">
        <v>441</v>
      </c>
      <c r="B452" s="29" t="s">
        <v>1864</v>
      </c>
      <c r="D452" s="29" t="s">
        <v>2124</v>
      </c>
      <c r="E452" s="24" t="s">
        <v>2137</v>
      </c>
      <c r="F452" s="24" t="s">
        <v>1209</v>
      </c>
      <c r="G452" s="29" t="s">
        <v>2207</v>
      </c>
      <c r="H452" s="24" t="s">
        <v>2208</v>
      </c>
      <c r="I452" s="24" t="s">
        <v>2209</v>
      </c>
      <c r="J452" s="24" t="s">
        <v>2063</v>
      </c>
      <c r="K452" s="24" t="s">
        <v>2062</v>
      </c>
      <c r="L452" s="24" t="s">
        <v>2187</v>
      </c>
    </row>
    <row r="453" spans="1:12" ht="25.15" customHeight="1" x14ac:dyDescent="0.25">
      <c r="A453" s="29" t="s">
        <v>12</v>
      </c>
      <c r="B453" s="29" t="s">
        <v>1866</v>
      </c>
      <c r="D453" s="29" t="s">
        <v>2057</v>
      </c>
      <c r="E453" s="24" t="s">
        <v>2137</v>
      </c>
      <c r="F453" s="24" t="s">
        <v>1209</v>
      </c>
      <c r="G453" s="29" t="s">
        <v>2207</v>
      </c>
      <c r="H453" s="24" t="s">
        <v>2208</v>
      </c>
      <c r="I453" s="24" t="s">
        <v>2209</v>
      </c>
      <c r="J453" s="24" t="s">
        <v>2063</v>
      </c>
      <c r="K453" s="24" t="s">
        <v>2062</v>
      </c>
      <c r="L453" s="24" t="s">
        <v>2187</v>
      </c>
    </row>
    <row r="454" spans="1:12" ht="25.15" customHeight="1" x14ac:dyDescent="0.25">
      <c r="A454" s="29" t="s">
        <v>277</v>
      </c>
      <c r="B454" s="29" t="s">
        <v>1868</v>
      </c>
      <c r="D454" s="29" t="s">
        <v>2057</v>
      </c>
      <c r="E454" s="24" t="s">
        <v>2137</v>
      </c>
      <c r="F454" s="24" t="s">
        <v>1209</v>
      </c>
      <c r="G454" s="29" t="s">
        <v>2207</v>
      </c>
      <c r="H454" s="24" t="s">
        <v>2208</v>
      </c>
      <c r="I454" s="24" t="s">
        <v>2209</v>
      </c>
      <c r="J454" s="24" t="s">
        <v>2063</v>
      </c>
      <c r="K454" s="24" t="s">
        <v>2062</v>
      </c>
      <c r="L454" s="24" t="s">
        <v>2187</v>
      </c>
    </row>
    <row r="455" spans="1:12" ht="25.15" customHeight="1" x14ac:dyDescent="0.25">
      <c r="A455" s="29" t="s">
        <v>222</v>
      </c>
      <c r="B455" s="29" t="s">
        <v>1871</v>
      </c>
      <c r="D455" s="29" t="s">
        <v>2124</v>
      </c>
      <c r="E455" s="24" t="s">
        <v>2137</v>
      </c>
      <c r="F455" s="24" t="s">
        <v>1209</v>
      </c>
      <c r="G455" s="29" t="s">
        <v>2207</v>
      </c>
      <c r="H455" s="24" t="s">
        <v>2208</v>
      </c>
      <c r="I455" s="24" t="s">
        <v>2209</v>
      </c>
      <c r="J455" s="24" t="s">
        <v>2063</v>
      </c>
      <c r="K455" s="24" t="s">
        <v>2062</v>
      </c>
      <c r="L455" s="24" t="s">
        <v>2187</v>
      </c>
    </row>
    <row r="456" spans="1:12" ht="25.15" customHeight="1" x14ac:dyDescent="0.25">
      <c r="A456" s="29" t="s">
        <v>309</v>
      </c>
      <c r="B456" s="29" t="s">
        <v>1873</v>
      </c>
      <c r="D456" s="29" t="s">
        <v>2123</v>
      </c>
      <c r="E456" s="24" t="s">
        <v>2137</v>
      </c>
      <c r="F456" s="24" t="s">
        <v>1209</v>
      </c>
      <c r="G456" s="29" t="s">
        <v>2207</v>
      </c>
      <c r="H456" s="24" t="s">
        <v>2208</v>
      </c>
      <c r="I456" s="24" t="s">
        <v>2209</v>
      </c>
      <c r="J456" s="24" t="s">
        <v>2063</v>
      </c>
      <c r="K456" s="24" t="s">
        <v>2062</v>
      </c>
      <c r="L456" s="24" t="s">
        <v>2187</v>
      </c>
    </row>
    <row r="457" spans="1:12" ht="25.15" customHeight="1" x14ac:dyDescent="0.25">
      <c r="A457" s="29" t="s">
        <v>241</v>
      </c>
      <c r="B457" s="29" t="s">
        <v>1874</v>
      </c>
      <c r="D457" s="29" t="s">
        <v>2126</v>
      </c>
      <c r="E457" s="24" t="s">
        <v>2137</v>
      </c>
      <c r="F457" s="24" t="s">
        <v>1209</v>
      </c>
      <c r="G457" s="29" t="s">
        <v>2207</v>
      </c>
      <c r="H457" s="24" t="s">
        <v>2208</v>
      </c>
      <c r="I457" s="24" t="s">
        <v>2209</v>
      </c>
      <c r="J457" s="24" t="s">
        <v>2063</v>
      </c>
      <c r="K457" s="24" t="s">
        <v>2062</v>
      </c>
      <c r="L457" s="24" t="s">
        <v>2187</v>
      </c>
    </row>
    <row r="458" spans="1:12" ht="25.15" customHeight="1" x14ac:dyDescent="0.25">
      <c r="A458" s="29" t="s">
        <v>358</v>
      </c>
      <c r="B458" s="29" t="s">
        <v>1876</v>
      </c>
      <c r="D458" s="29" t="s">
        <v>2124</v>
      </c>
      <c r="E458" s="24" t="s">
        <v>2137</v>
      </c>
      <c r="F458" s="24" t="s">
        <v>1209</v>
      </c>
      <c r="G458" s="29" t="s">
        <v>2207</v>
      </c>
      <c r="H458" s="24" t="s">
        <v>2208</v>
      </c>
      <c r="I458" s="24" t="s">
        <v>2209</v>
      </c>
      <c r="J458" s="24" t="s">
        <v>2063</v>
      </c>
      <c r="K458" s="24" t="s">
        <v>2062</v>
      </c>
      <c r="L458" s="24" t="s">
        <v>2187</v>
      </c>
    </row>
    <row r="459" spans="1:12" ht="25.15" customHeight="1" x14ac:dyDescent="0.25">
      <c r="A459" s="29" t="s">
        <v>354</v>
      </c>
      <c r="B459" s="29" t="s">
        <v>1510</v>
      </c>
      <c r="C459" s="29" t="s">
        <v>1511</v>
      </c>
      <c r="D459" s="29" t="s">
        <v>2124</v>
      </c>
      <c r="E459" s="24" t="s">
        <v>2136</v>
      </c>
      <c r="F459" s="24" t="s">
        <v>2059</v>
      </c>
      <c r="G459" s="29" t="s">
        <v>539</v>
      </c>
      <c r="H459" s="24">
        <v>0</v>
      </c>
      <c r="I459" s="24">
        <v>0</v>
      </c>
      <c r="J459" s="24" t="s">
        <v>539</v>
      </c>
      <c r="K459" s="24">
        <v>0</v>
      </c>
      <c r="L459" s="24" t="s">
        <v>539</v>
      </c>
    </row>
    <row r="460" spans="1:12" ht="25.15" customHeight="1" x14ac:dyDescent="0.25">
      <c r="A460" s="29" t="s">
        <v>18</v>
      </c>
      <c r="B460" s="29" t="s">
        <v>1879</v>
      </c>
      <c r="D460" s="29" t="s">
        <v>2130</v>
      </c>
      <c r="E460" s="24" t="s">
        <v>2137</v>
      </c>
      <c r="F460" s="24" t="s">
        <v>1209</v>
      </c>
      <c r="G460" s="29" t="s">
        <v>2207</v>
      </c>
      <c r="H460" s="24" t="s">
        <v>2208</v>
      </c>
      <c r="I460" s="24" t="s">
        <v>2209</v>
      </c>
      <c r="J460" s="24" t="s">
        <v>2063</v>
      </c>
      <c r="K460" s="24" t="s">
        <v>2062</v>
      </c>
      <c r="L460" s="24" t="s">
        <v>2187</v>
      </c>
    </row>
    <row r="461" spans="1:12" ht="25.15" customHeight="1" x14ac:dyDescent="0.25">
      <c r="A461" s="29" t="s">
        <v>356</v>
      </c>
      <c r="B461" s="29" t="s">
        <v>1881</v>
      </c>
      <c r="D461" s="29" t="s">
        <v>2129</v>
      </c>
      <c r="E461" s="24" t="s">
        <v>2137</v>
      </c>
      <c r="F461" s="24" t="s">
        <v>1209</v>
      </c>
      <c r="G461" s="29" t="s">
        <v>2207</v>
      </c>
      <c r="H461" s="24" t="s">
        <v>2208</v>
      </c>
      <c r="I461" s="24" t="s">
        <v>2209</v>
      </c>
      <c r="J461" s="24" t="s">
        <v>2063</v>
      </c>
      <c r="K461" s="24" t="s">
        <v>2062</v>
      </c>
      <c r="L461" s="24" t="s">
        <v>2187</v>
      </c>
    </row>
    <row r="462" spans="1:12" ht="25.15" customHeight="1" x14ac:dyDescent="0.25">
      <c r="A462" s="29" t="s">
        <v>330</v>
      </c>
      <c r="B462" s="29" t="s">
        <v>1882</v>
      </c>
      <c r="D462" s="29" t="s">
        <v>2124</v>
      </c>
      <c r="E462" s="24" t="s">
        <v>2137</v>
      </c>
      <c r="F462" s="24" t="s">
        <v>1209</v>
      </c>
      <c r="G462" s="29" t="s">
        <v>2207</v>
      </c>
      <c r="H462" s="24" t="s">
        <v>2208</v>
      </c>
      <c r="I462" s="24" t="s">
        <v>2209</v>
      </c>
      <c r="J462" s="24" t="s">
        <v>2063</v>
      </c>
      <c r="K462" s="24" t="s">
        <v>2062</v>
      </c>
      <c r="L462" s="24" t="s">
        <v>2187</v>
      </c>
    </row>
    <row r="463" spans="1:12" s="28" customFormat="1" ht="40.15" customHeight="1" x14ac:dyDescent="0.25">
      <c r="A463" s="28" t="s">
        <v>270</v>
      </c>
      <c r="B463" s="28" t="s">
        <v>2311</v>
      </c>
      <c r="C463" s="28" t="s">
        <v>1411</v>
      </c>
      <c r="D463" s="28" t="s">
        <v>2126</v>
      </c>
      <c r="E463" s="27" t="s">
        <v>2312</v>
      </c>
      <c r="F463" s="27" t="s">
        <v>2059</v>
      </c>
      <c r="G463" s="28" t="s">
        <v>2313</v>
      </c>
      <c r="H463" s="27" t="s">
        <v>2204</v>
      </c>
      <c r="I463" s="27" t="s">
        <v>2062</v>
      </c>
      <c r="J463" s="27" t="s">
        <v>2063</v>
      </c>
      <c r="K463" s="27" t="s">
        <v>2062</v>
      </c>
      <c r="L463" s="27" t="s">
        <v>2187</v>
      </c>
    </row>
    <row r="464" spans="1:12" ht="25.15" customHeight="1" x14ac:dyDescent="0.25">
      <c r="A464" s="29" t="s">
        <v>316</v>
      </c>
      <c r="B464" s="29" t="s">
        <v>1885</v>
      </c>
      <c r="D464" s="29" t="s">
        <v>1186</v>
      </c>
      <c r="E464" s="24" t="s">
        <v>2137</v>
      </c>
      <c r="F464" s="24" t="s">
        <v>1209</v>
      </c>
      <c r="G464" s="29" t="s">
        <v>2207</v>
      </c>
      <c r="H464" s="24" t="s">
        <v>2208</v>
      </c>
      <c r="I464" s="24" t="s">
        <v>2209</v>
      </c>
      <c r="J464" s="24" t="s">
        <v>2063</v>
      </c>
      <c r="K464" s="24" t="s">
        <v>2062</v>
      </c>
      <c r="L464" s="24" t="s">
        <v>2187</v>
      </c>
    </row>
    <row r="465" spans="1:12" ht="25.15" customHeight="1" x14ac:dyDescent="0.25">
      <c r="A465" s="29" t="s">
        <v>134</v>
      </c>
      <c r="B465" s="29" t="s">
        <v>1886</v>
      </c>
      <c r="D465" s="29" t="s">
        <v>2127</v>
      </c>
      <c r="E465" s="24" t="s">
        <v>2137</v>
      </c>
      <c r="F465" s="24" t="s">
        <v>1209</v>
      </c>
      <c r="G465" s="29" t="s">
        <v>2207</v>
      </c>
      <c r="H465" s="24" t="s">
        <v>2208</v>
      </c>
      <c r="I465" s="24" t="s">
        <v>2209</v>
      </c>
      <c r="J465" s="24" t="s">
        <v>2063</v>
      </c>
      <c r="K465" s="24" t="s">
        <v>2062</v>
      </c>
      <c r="L465" s="24" t="s">
        <v>2187</v>
      </c>
    </row>
    <row r="466" spans="1:12" ht="25.15" customHeight="1" x14ac:dyDescent="0.25">
      <c r="A466" s="29" t="s">
        <v>132</v>
      </c>
      <c r="B466" s="29" t="s">
        <v>1888</v>
      </c>
      <c r="D466" s="29" t="s">
        <v>2127</v>
      </c>
      <c r="E466" s="24" t="s">
        <v>2137</v>
      </c>
      <c r="F466" s="24" t="s">
        <v>1209</v>
      </c>
      <c r="G466" s="29" t="s">
        <v>2207</v>
      </c>
      <c r="H466" s="24" t="s">
        <v>2208</v>
      </c>
      <c r="I466" s="24" t="s">
        <v>2209</v>
      </c>
      <c r="J466" s="24" t="s">
        <v>2063</v>
      </c>
      <c r="K466" s="24" t="s">
        <v>2062</v>
      </c>
      <c r="L466" s="24" t="s">
        <v>2187</v>
      </c>
    </row>
    <row r="467" spans="1:12" ht="25.15" customHeight="1" x14ac:dyDescent="0.25">
      <c r="A467" s="29" t="s">
        <v>135</v>
      </c>
      <c r="B467" s="29" t="s">
        <v>1889</v>
      </c>
      <c r="D467" s="29" t="s">
        <v>2127</v>
      </c>
      <c r="E467" s="24" t="s">
        <v>2137</v>
      </c>
      <c r="F467" s="24" t="s">
        <v>1209</v>
      </c>
      <c r="G467" s="29" t="s">
        <v>2207</v>
      </c>
      <c r="H467" s="24" t="s">
        <v>2208</v>
      </c>
      <c r="I467" s="24" t="s">
        <v>2209</v>
      </c>
      <c r="J467" s="24" t="s">
        <v>2063</v>
      </c>
      <c r="K467" s="24" t="s">
        <v>2062</v>
      </c>
      <c r="L467" s="24" t="s">
        <v>2187</v>
      </c>
    </row>
    <row r="468" spans="1:12" ht="25.15" customHeight="1" x14ac:dyDescent="0.25">
      <c r="A468" s="29" t="s">
        <v>320</v>
      </c>
      <c r="B468" s="29" t="s">
        <v>1891</v>
      </c>
      <c r="D468" s="29" t="s">
        <v>2122</v>
      </c>
      <c r="E468" s="24" t="s">
        <v>2137</v>
      </c>
      <c r="F468" s="24" t="s">
        <v>1209</v>
      </c>
      <c r="G468" s="29" t="s">
        <v>2207</v>
      </c>
      <c r="H468" s="24" t="s">
        <v>2208</v>
      </c>
      <c r="I468" s="24" t="s">
        <v>2209</v>
      </c>
      <c r="J468" s="24" t="s">
        <v>2063</v>
      </c>
      <c r="K468" s="24" t="s">
        <v>2062</v>
      </c>
      <c r="L468" s="24" t="s">
        <v>2187</v>
      </c>
    </row>
    <row r="469" spans="1:12" ht="25.15" customHeight="1" x14ac:dyDescent="0.25">
      <c r="A469" s="29" t="s">
        <v>46</v>
      </c>
      <c r="B469" s="29" t="s">
        <v>1895</v>
      </c>
      <c r="D469" s="29" t="s">
        <v>2122</v>
      </c>
      <c r="E469" s="24" t="s">
        <v>2137</v>
      </c>
      <c r="F469" s="24" t="s">
        <v>1209</v>
      </c>
      <c r="G469" s="29" t="s">
        <v>2207</v>
      </c>
      <c r="H469" s="24" t="s">
        <v>2208</v>
      </c>
      <c r="I469" s="24" t="s">
        <v>2209</v>
      </c>
      <c r="J469" s="24" t="s">
        <v>2063</v>
      </c>
      <c r="K469" s="24" t="s">
        <v>2062</v>
      </c>
      <c r="L469" s="24" t="s">
        <v>2187</v>
      </c>
    </row>
    <row r="470" spans="1:12" ht="25.15" customHeight="1" x14ac:dyDescent="0.25">
      <c r="A470" s="29" t="s">
        <v>313</v>
      </c>
      <c r="B470" s="29" t="s">
        <v>1208</v>
      </c>
      <c r="D470" s="29" t="s">
        <v>1186</v>
      </c>
      <c r="E470" s="24" t="s">
        <v>2137</v>
      </c>
      <c r="F470" s="24" t="s">
        <v>1209</v>
      </c>
      <c r="G470" s="29" t="s">
        <v>2207</v>
      </c>
      <c r="H470" s="24" t="s">
        <v>2208</v>
      </c>
      <c r="I470" s="24" t="s">
        <v>2209</v>
      </c>
      <c r="J470" s="24" t="s">
        <v>2063</v>
      </c>
      <c r="K470" s="24" t="s">
        <v>2062</v>
      </c>
      <c r="L470" s="24" t="s">
        <v>2187</v>
      </c>
    </row>
    <row r="471" spans="1:12" ht="25.15" customHeight="1" x14ac:dyDescent="0.25">
      <c r="A471" s="29" t="s">
        <v>431</v>
      </c>
      <c r="B471" s="29" t="s">
        <v>1897</v>
      </c>
      <c r="D471" s="29" t="s">
        <v>2130</v>
      </c>
      <c r="E471" s="24" t="s">
        <v>2137</v>
      </c>
      <c r="F471" s="24" t="s">
        <v>1209</v>
      </c>
      <c r="G471" s="29" t="s">
        <v>2207</v>
      </c>
      <c r="H471" s="24" t="s">
        <v>2208</v>
      </c>
      <c r="I471" s="24" t="s">
        <v>2209</v>
      </c>
      <c r="J471" s="24" t="s">
        <v>2063</v>
      </c>
      <c r="K471" s="24" t="s">
        <v>2062</v>
      </c>
      <c r="L471" s="24" t="s">
        <v>2187</v>
      </c>
    </row>
    <row r="472" spans="1:12" ht="25.15" customHeight="1" x14ac:dyDescent="0.25">
      <c r="A472" s="29" t="s">
        <v>112</v>
      </c>
      <c r="B472" s="29" t="s">
        <v>1900</v>
      </c>
      <c r="D472" s="29" t="s">
        <v>2130</v>
      </c>
      <c r="E472" s="24" t="s">
        <v>2137</v>
      </c>
      <c r="F472" s="24" t="s">
        <v>1209</v>
      </c>
      <c r="G472" s="29" t="s">
        <v>2207</v>
      </c>
      <c r="H472" s="24" t="s">
        <v>2208</v>
      </c>
      <c r="I472" s="24" t="s">
        <v>2209</v>
      </c>
      <c r="J472" s="24" t="s">
        <v>2063</v>
      </c>
      <c r="K472" s="24" t="s">
        <v>2062</v>
      </c>
      <c r="L472" s="24" t="s">
        <v>2187</v>
      </c>
    </row>
    <row r="473" spans="1:12" ht="25.15" customHeight="1" x14ac:dyDescent="0.25">
      <c r="A473" s="29" t="s">
        <v>54</v>
      </c>
      <c r="B473" s="29" t="s">
        <v>1903</v>
      </c>
      <c r="D473" s="29" t="s">
        <v>2123</v>
      </c>
      <c r="E473" s="24" t="s">
        <v>2137</v>
      </c>
      <c r="F473" s="24" t="s">
        <v>1209</v>
      </c>
      <c r="G473" s="29" t="s">
        <v>2207</v>
      </c>
      <c r="H473" s="24" t="s">
        <v>2208</v>
      </c>
      <c r="I473" s="24" t="s">
        <v>2209</v>
      </c>
      <c r="J473" s="24" t="s">
        <v>2063</v>
      </c>
      <c r="K473" s="24" t="s">
        <v>2062</v>
      </c>
      <c r="L473" s="24" t="s">
        <v>2187</v>
      </c>
    </row>
    <row r="474" spans="1:12" ht="25.15" customHeight="1" x14ac:dyDescent="0.25">
      <c r="A474" s="29" t="s">
        <v>287</v>
      </c>
      <c r="B474" s="29" t="s">
        <v>1905</v>
      </c>
      <c r="D474" s="29" t="s">
        <v>1186</v>
      </c>
      <c r="E474" s="24" t="s">
        <v>2137</v>
      </c>
      <c r="F474" s="24" t="s">
        <v>1209</v>
      </c>
      <c r="G474" s="29" t="s">
        <v>2207</v>
      </c>
      <c r="H474" s="24" t="s">
        <v>2208</v>
      </c>
      <c r="I474" s="24" t="s">
        <v>2209</v>
      </c>
      <c r="J474" s="24" t="s">
        <v>2063</v>
      </c>
      <c r="K474" s="24" t="s">
        <v>2062</v>
      </c>
      <c r="L474" s="24" t="s">
        <v>2187</v>
      </c>
    </row>
    <row r="475" spans="1:12" ht="25.15" customHeight="1" x14ac:dyDescent="0.25">
      <c r="A475" s="29" t="s">
        <v>47</v>
      </c>
      <c r="B475" s="29" t="s">
        <v>1906</v>
      </c>
      <c r="D475" s="29" t="s">
        <v>2130</v>
      </c>
      <c r="E475" s="24" t="s">
        <v>2137</v>
      </c>
      <c r="F475" s="24" t="s">
        <v>1209</v>
      </c>
      <c r="G475" s="29" t="s">
        <v>2207</v>
      </c>
      <c r="H475" s="24" t="s">
        <v>2208</v>
      </c>
      <c r="I475" s="24" t="s">
        <v>2209</v>
      </c>
      <c r="J475" s="24" t="s">
        <v>2063</v>
      </c>
      <c r="K475" s="24" t="s">
        <v>2062</v>
      </c>
      <c r="L475" s="24" t="s">
        <v>2187</v>
      </c>
    </row>
    <row r="476" spans="1:12" ht="25.15" customHeight="1" x14ac:dyDescent="0.25">
      <c r="A476" s="29" t="s">
        <v>429</v>
      </c>
      <c r="B476" s="29" t="s">
        <v>1907</v>
      </c>
      <c r="D476" s="29" t="s">
        <v>2130</v>
      </c>
      <c r="E476" s="24" t="s">
        <v>2137</v>
      </c>
      <c r="F476" s="24" t="s">
        <v>1209</v>
      </c>
      <c r="G476" s="29" t="s">
        <v>2207</v>
      </c>
      <c r="H476" s="24" t="s">
        <v>2208</v>
      </c>
      <c r="I476" s="24" t="s">
        <v>2209</v>
      </c>
      <c r="J476" s="24" t="s">
        <v>2063</v>
      </c>
      <c r="K476" s="24" t="s">
        <v>2062</v>
      </c>
      <c r="L476" s="24" t="s">
        <v>2187</v>
      </c>
    </row>
    <row r="477" spans="1:12" ht="25.15" customHeight="1" x14ac:dyDescent="0.25">
      <c r="A477" s="29" t="s">
        <v>432</v>
      </c>
      <c r="B477" s="29" t="s">
        <v>1908</v>
      </c>
      <c r="D477" s="29" t="s">
        <v>2130</v>
      </c>
      <c r="E477" s="24" t="s">
        <v>2137</v>
      </c>
      <c r="F477" s="24" t="s">
        <v>1209</v>
      </c>
      <c r="G477" s="29" t="s">
        <v>2207</v>
      </c>
      <c r="H477" s="24" t="s">
        <v>2208</v>
      </c>
      <c r="I477" s="24" t="s">
        <v>2209</v>
      </c>
      <c r="J477" s="24" t="s">
        <v>2063</v>
      </c>
      <c r="K477" s="24" t="s">
        <v>2062</v>
      </c>
      <c r="L477" s="24" t="s">
        <v>2187</v>
      </c>
    </row>
    <row r="478" spans="1:12" ht="25.15" customHeight="1" x14ac:dyDescent="0.25">
      <c r="A478" s="29" t="s">
        <v>264</v>
      </c>
      <c r="B478" s="29" t="s">
        <v>1909</v>
      </c>
      <c r="D478" s="29" t="s">
        <v>2130</v>
      </c>
      <c r="E478" s="24" t="s">
        <v>2137</v>
      </c>
      <c r="F478" s="24" t="s">
        <v>1209</v>
      </c>
      <c r="G478" s="29" t="s">
        <v>2207</v>
      </c>
      <c r="H478" s="24" t="s">
        <v>2208</v>
      </c>
      <c r="I478" s="24" t="s">
        <v>2209</v>
      </c>
      <c r="J478" s="24" t="s">
        <v>2063</v>
      </c>
      <c r="K478" s="24" t="s">
        <v>2062</v>
      </c>
      <c r="L478" s="24" t="s">
        <v>2187</v>
      </c>
    </row>
    <row r="479" spans="1:12" ht="25.15" customHeight="1" x14ac:dyDescent="0.25">
      <c r="A479" s="29" t="s">
        <v>333</v>
      </c>
      <c r="B479" s="29" t="s">
        <v>1910</v>
      </c>
      <c r="D479" s="29" t="s">
        <v>2123</v>
      </c>
      <c r="E479" s="24" t="s">
        <v>2137</v>
      </c>
      <c r="F479" s="24" t="s">
        <v>1209</v>
      </c>
      <c r="G479" s="29" t="s">
        <v>2207</v>
      </c>
      <c r="H479" s="24" t="s">
        <v>2208</v>
      </c>
      <c r="I479" s="24" t="s">
        <v>2209</v>
      </c>
      <c r="J479" s="24" t="s">
        <v>2063</v>
      </c>
      <c r="K479" s="24" t="s">
        <v>2062</v>
      </c>
      <c r="L479" s="24" t="s">
        <v>2187</v>
      </c>
    </row>
    <row r="480" spans="1:12" ht="25.15" customHeight="1" x14ac:dyDescent="0.25">
      <c r="A480" s="29" t="s">
        <v>41</v>
      </c>
      <c r="B480" s="29" t="s">
        <v>1915</v>
      </c>
      <c r="D480" s="29" t="s">
        <v>2133</v>
      </c>
      <c r="E480" s="24" t="s">
        <v>2137</v>
      </c>
      <c r="F480" s="24" t="s">
        <v>1209</v>
      </c>
      <c r="G480" s="29" t="s">
        <v>2207</v>
      </c>
      <c r="H480" s="24" t="s">
        <v>2208</v>
      </c>
      <c r="I480" s="24" t="s">
        <v>2209</v>
      </c>
      <c r="J480" s="24" t="s">
        <v>2063</v>
      </c>
      <c r="K480" s="24" t="s">
        <v>2062</v>
      </c>
      <c r="L480" s="24" t="s">
        <v>2187</v>
      </c>
    </row>
    <row r="481" spans="1:12" ht="25.15" customHeight="1" x14ac:dyDescent="0.25">
      <c r="A481" s="29" t="s">
        <v>103</v>
      </c>
      <c r="B481" s="29" t="s">
        <v>1916</v>
      </c>
      <c r="D481" s="29" t="s">
        <v>2122</v>
      </c>
      <c r="E481" s="24" t="s">
        <v>2137</v>
      </c>
      <c r="F481" s="24" t="s">
        <v>1209</v>
      </c>
      <c r="G481" s="29" t="s">
        <v>2207</v>
      </c>
      <c r="H481" s="24" t="s">
        <v>2208</v>
      </c>
      <c r="I481" s="24" t="s">
        <v>2209</v>
      </c>
      <c r="J481" s="24" t="s">
        <v>2063</v>
      </c>
      <c r="K481" s="24" t="s">
        <v>2062</v>
      </c>
      <c r="L481" s="24" t="s">
        <v>2187</v>
      </c>
    </row>
    <row r="482" spans="1:12" ht="25.15" customHeight="1" x14ac:dyDescent="0.25">
      <c r="A482" s="29" t="s">
        <v>2</v>
      </c>
      <c r="B482" s="29" t="s">
        <v>1918</v>
      </c>
      <c r="D482" s="29" t="s">
        <v>2133</v>
      </c>
      <c r="E482" s="24" t="s">
        <v>2137</v>
      </c>
      <c r="F482" s="24" t="s">
        <v>1209</v>
      </c>
      <c r="G482" s="29" t="s">
        <v>2207</v>
      </c>
      <c r="H482" s="24" t="s">
        <v>2208</v>
      </c>
      <c r="I482" s="24" t="s">
        <v>2209</v>
      </c>
      <c r="J482" s="24" t="s">
        <v>2063</v>
      </c>
      <c r="K482" s="24" t="s">
        <v>2062</v>
      </c>
      <c r="L482" s="24" t="s">
        <v>2187</v>
      </c>
    </row>
    <row r="483" spans="1:12" ht="25.15" customHeight="1" x14ac:dyDescent="0.25">
      <c r="A483" s="29" t="s">
        <v>35</v>
      </c>
      <c r="B483" s="29" t="s">
        <v>1920</v>
      </c>
      <c r="D483" s="29" t="s">
        <v>2133</v>
      </c>
      <c r="E483" s="24" t="s">
        <v>2137</v>
      </c>
      <c r="F483" s="24" t="s">
        <v>1209</v>
      </c>
      <c r="G483" s="29" t="s">
        <v>2207</v>
      </c>
      <c r="H483" s="24" t="s">
        <v>2208</v>
      </c>
      <c r="I483" s="24" t="s">
        <v>2209</v>
      </c>
      <c r="J483" s="24" t="s">
        <v>2063</v>
      </c>
      <c r="K483" s="24" t="s">
        <v>2062</v>
      </c>
      <c r="L483" s="24" t="s">
        <v>2187</v>
      </c>
    </row>
    <row r="484" spans="1:12" ht="25.15" customHeight="1" x14ac:dyDescent="0.25">
      <c r="A484" s="29" t="s">
        <v>152</v>
      </c>
      <c r="B484" s="29" t="s">
        <v>1923</v>
      </c>
      <c r="D484" s="29" t="s">
        <v>2130</v>
      </c>
      <c r="E484" s="24" t="s">
        <v>2137</v>
      </c>
      <c r="F484" s="24" t="s">
        <v>1209</v>
      </c>
      <c r="G484" s="29" t="s">
        <v>2207</v>
      </c>
      <c r="H484" s="24" t="s">
        <v>2208</v>
      </c>
      <c r="I484" s="24" t="s">
        <v>2209</v>
      </c>
      <c r="J484" s="24" t="s">
        <v>2063</v>
      </c>
      <c r="K484" s="24" t="s">
        <v>2062</v>
      </c>
      <c r="L484" s="24" t="s">
        <v>2187</v>
      </c>
    </row>
    <row r="485" spans="1:12" ht="25.15" customHeight="1" x14ac:dyDescent="0.25">
      <c r="A485" s="29" t="s">
        <v>105</v>
      </c>
      <c r="B485" s="29" t="s">
        <v>1927</v>
      </c>
      <c r="D485" s="29" t="s">
        <v>1186</v>
      </c>
      <c r="E485" s="24" t="s">
        <v>2137</v>
      </c>
      <c r="F485" s="24" t="s">
        <v>1209</v>
      </c>
      <c r="G485" s="29" t="s">
        <v>2207</v>
      </c>
      <c r="H485" s="24" t="s">
        <v>2208</v>
      </c>
      <c r="I485" s="24" t="s">
        <v>2209</v>
      </c>
      <c r="J485" s="24" t="s">
        <v>2063</v>
      </c>
      <c r="K485" s="24" t="s">
        <v>2062</v>
      </c>
      <c r="L485" s="24" t="s">
        <v>2187</v>
      </c>
    </row>
    <row r="486" spans="1:12" ht="25.15" customHeight="1" x14ac:dyDescent="0.25">
      <c r="A486" s="29" t="s">
        <v>298</v>
      </c>
      <c r="B486" s="29" t="s">
        <v>1928</v>
      </c>
      <c r="D486" s="29" t="s">
        <v>2127</v>
      </c>
      <c r="E486" s="24" t="s">
        <v>2137</v>
      </c>
      <c r="F486" s="24" t="s">
        <v>1209</v>
      </c>
      <c r="G486" s="29" t="s">
        <v>2207</v>
      </c>
      <c r="H486" s="24" t="s">
        <v>2208</v>
      </c>
      <c r="I486" s="24" t="s">
        <v>2209</v>
      </c>
      <c r="J486" s="24" t="s">
        <v>2063</v>
      </c>
      <c r="K486" s="24" t="s">
        <v>2062</v>
      </c>
      <c r="L486" s="24" t="s">
        <v>2187</v>
      </c>
    </row>
    <row r="487" spans="1:12" ht="25.15" customHeight="1" x14ac:dyDescent="0.25">
      <c r="A487" s="29" t="s">
        <v>101</v>
      </c>
      <c r="B487" s="29" t="s">
        <v>1930</v>
      </c>
      <c r="D487" s="29" t="s">
        <v>2130</v>
      </c>
      <c r="E487" s="24" t="s">
        <v>2137</v>
      </c>
      <c r="F487" s="24" t="s">
        <v>1209</v>
      </c>
      <c r="G487" s="29" t="s">
        <v>2207</v>
      </c>
      <c r="H487" s="24" t="s">
        <v>2208</v>
      </c>
      <c r="I487" s="24" t="s">
        <v>2209</v>
      </c>
      <c r="J487" s="24" t="s">
        <v>2063</v>
      </c>
      <c r="K487" s="24" t="s">
        <v>2062</v>
      </c>
      <c r="L487" s="24" t="s">
        <v>2187</v>
      </c>
    </row>
    <row r="488" spans="1:12" ht="25.15" customHeight="1" x14ac:dyDescent="0.25">
      <c r="A488" s="29" t="s">
        <v>445</v>
      </c>
      <c r="B488" s="29" t="s">
        <v>1934</v>
      </c>
      <c r="D488" s="29" t="s">
        <v>1186</v>
      </c>
      <c r="E488" s="24" t="s">
        <v>2137</v>
      </c>
      <c r="F488" s="24" t="s">
        <v>1209</v>
      </c>
      <c r="G488" s="29" t="s">
        <v>2207</v>
      </c>
      <c r="H488" s="24" t="s">
        <v>2208</v>
      </c>
      <c r="I488" s="24" t="s">
        <v>2209</v>
      </c>
      <c r="J488" s="24" t="s">
        <v>2063</v>
      </c>
      <c r="K488" s="24" t="s">
        <v>2062</v>
      </c>
      <c r="L488" s="24" t="s">
        <v>2187</v>
      </c>
    </row>
    <row r="489" spans="1:12" ht="25.15" customHeight="1" x14ac:dyDescent="0.25">
      <c r="A489" s="29" t="s">
        <v>69</v>
      </c>
      <c r="B489" s="29" t="s">
        <v>1936</v>
      </c>
      <c r="D489" s="29" t="s">
        <v>1186</v>
      </c>
      <c r="E489" s="24" t="s">
        <v>2137</v>
      </c>
      <c r="F489" s="24" t="s">
        <v>1209</v>
      </c>
      <c r="G489" s="29" t="s">
        <v>2207</v>
      </c>
      <c r="H489" s="24" t="s">
        <v>2208</v>
      </c>
      <c r="I489" s="24" t="s">
        <v>2209</v>
      </c>
      <c r="J489" s="24" t="s">
        <v>2063</v>
      </c>
      <c r="K489" s="24" t="s">
        <v>2062</v>
      </c>
      <c r="L489" s="24" t="s">
        <v>2187</v>
      </c>
    </row>
    <row r="490" spans="1:12" ht="25.15" customHeight="1" x14ac:dyDescent="0.25">
      <c r="A490" s="29" t="s">
        <v>16</v>
      </c>
      <c r="B490" s="29" t="s">
        <v>1937</v>
      </c>
      <c r="D490" s="29" t="s">
        <v>1186</v>
      </c>
      <c r="E490" s="24" t="s">
        <v>2137</v>
      </c>
      <c r="F490" s="24" t="s">
        <v>1209</v>
      </c>
      <c r="G490" s="29" t="s">
        <v>2207</v>
      </c>
      <c r="H490" s="24" t="s">
        <v>2208</v>
      </c>
      <c r="I490" s="24" t="s">
        <v>2209</v>
      </c>
      <c r="J490" s="24" t="s">
        <v>2063</v>
      </c>
      <c r="K490" s="24" t="s">
        <v>2062</v>
      </c>
      <c r="L490" s="24" t="s">
        <v>2187</v>
      </c>
    </row>
    <row r="491" spans="1:12" ht="25.15" customHeight="1" x14ac:dyDescent="0.25">
      <c r="A491" s="29" t="s">
        <v>10</v>
      </c>
      <c r="B491" s="29" t="s">
        <v>1309</v>
      </c>
      <c r="D491" s="29" t="s">
        <v>2129</v>
      </c>
      <c r="E491" s="31">
        <v>41443</v>
      </c>
      <c r="F491" s="24" t="s">
        <v>1487</v>
      </c>
    </row>
    <row r="492" spans="1:12" ht="25.15" customHeight="1" x14ac:dyDescent="0.25">
      <c r="A492" s="29" t="s">
        <v>571</v>
      </c>
      <c r="B492" s="29" t="s">
        <v>2406</v>
      </c>
      <c r="C492" s="29" t="s">
        <v>1486</v>
      </c>
      <c r="D492" s="29" t="s">
        <v>2130</v>
      </c>
      <c r="E492" s="31" t="s">
        <v>2407</v>
      </c>
      <c r="F492" s="24" t="s">
        <v>2059</v>
      </c>
      <c r="G492" s="29" t="s">
        <v>2408</v>
      </c>
      <c r="H492" s="24">
        <v>2</v>
      </c>
      <c r="I492" s="24">
        <v>0</v>
      </c>
      <c r="J492" s="24" t="s">
        <v>539</v>
      </c>
      <c r="K492" s="24">
        <v>0</v>
      </c>
      <c r="L492" s="24" t="s">
        <v>2409</v>
      </c>
    </row>
    <row r="493" spans="1:12" ht="25.15" customHeight="1" x14ac:dyDescent="0.25">
      <c r="A493" s="29" t="s">
        <v>343</v>
      </c>
      <c r="B493" s="29" t="s">
        <v>1530</v>
      </c>
      <c r="D493" s="29" t="s">
        <v>2126</v>
      </c>
      <c r="E493" s="31">
        <v>41005</v>
      </c>
      <c r="F493" s="24" t="s">
        <v>1487</v>
      </c>
    </row>
    <row r="494" spans="1:12" ht="25.15" customHeight="1" x14ac:dyDescent="0.25">
      <c r="A494" s="29" t="s">
        <v>419</v>
      </c>
      <c r="B494" s="29" t="s">
        <v>1575</v>
      </c>
      <c r="D494" s="29" t="s">
        <v>2132</v>
      </c>
      <c r="E494" s="31">
        <v>0</v>
      </c>
      <c r="F494" s="24" t="s">
        <v>1487</v>
      </c>
    </row>
    <row r="495" spans="1:12" ht="25.15" customHeight="1" x14ac:dyDescent="0.25">
      <c r="A495" s="29" t="s">
        <v>125</v>
      </c>
      <c r="B495" s="29" t="s">
        <v>1738</v>
      </c>
      <c r="D495" s="29" t="s">
        <v>2130</v>
      </c>
      <c r="E495" s="31">
        <v>40800</v>
      </c>
      <c r="F495" s="24" t="s">
        <v>1487</v>
      </c>
    </row>
    <row r="496" spans="1:12" ht="25.15" customHeight="1" x14ac:dyDescent="0.25">
      <c r="A496" s="29" t="s">
        <v>619</v>
      </c>
      <c r="B496" s="29" t="s">
        <v>621</v>
      </c>
      <c r="D496" s="29" t="s">
        <v>2123</v>
      </c>
      <c r="E496" s="24"/>
      <c r="F496" s="24" t="s">
        <v>1487</v>
      </c>
    </row>
    <row r="497" spans="1:12" ht="25.15" customHeight="1" x14ac:dyDescent="0.25">
      <c r="A497" s="29" t="s">
        <v>565</v>
      </c>
      <c r="B497" s="29" t="s">
        <v>1523</v>
      </c>
      <c r="D497" s="29" t="s">
        <v>1186</v>
      </c>
      <c r="E497" s="31">
        <v>0</v>
      </c>
    </row>
    <row r="498" spans="1:12" ht="25.15" customHeight="1" x14ac:dyDescent="0.25">
      <c r="A498" s="29" t="s">
        <v>1986</v>
      </c>
      <c r="B498" s="29" t="s">
        <v>1988</v>
      </c>
      <c r="C498" s="29" t="s">
        <v>1904</v>
      </c>
      <c r="D498" s="29" t="s">
        <v>2123</v>
      </c>
      <c r="E498" s="31" t="s">
        <v>2466</v>
      </c>
      <c r="F498" s="24" t="s">
        <v>2059</v>
      </c>
      <c r="G498" s="29" t="s">
        <v>539</v>
      </c>
      <c r="H498" s="24">
        <v>0</v>
      </c>
      <c r="I498" s="24">
        <v>0</v>
      </c>
      <c r="J498" s="24" t="s">
        <v>539</v>
      </c>
      <c r="K498" s="24">
        <v>0</v>
      </c>
      <c r="L498" s="24" t="s">
        <v>539</v>
      </c>
    </row>
    <row r="499" spans="1:12" ht="25.15" customHeight="1" x14ac:dyDescent="0.25">
      <c r="A499" s="29" t="s">
        <v>2015</v>
      </c>
      <c r="B499" s="29" t="s">
        <v>2019</v>
      </c>
      <c r="C499" s="29" t="s">
        <v>1220</v>
      </c>
      <c r="D499" s="9" t="s">
        <v>590</v>
      </c>
      <c r="E499" s="31">
        <v>45348</v>
      </c>
      <c r="F499" s="24" t="s">
        <v>1207</v>
      </c>
      <c r="G499" s="29" t="s">
        <v>2483</v>
      </c>
      <c r="H499" s="24">
        <v>3</v>
      </c>
      <c r="I499" s="24">
        <v>0</v>
      </c>
      <c r="J499" s="24" t="s">
        <v>539</v>
      </c>
      <c r="K499" s="24">
        <v>0</v>
      </c>
      <c r="L499" s="24" t="s">
        <v>2174</v>
      </c>
    </row>
    <row r="500" spans="1:12" ht="25.15" customHeight="1" x14ac:dyDescent="0.25">
      <c r="A500" s="29" t="s">
        <v>1977</v>
      </c>
      <c r="B500" s="29" t="s">
        <v>2485</v>
      </c>
      <c r="C500" s="29" t="s">
        <v>1486</v>
      </c>
      <c r="D500" s="29" t="s">
        <v>2129</v>
      </c>
      <c r="E500" s="31" t="s">
        <v>2482</v>
      </c>
      <c r="F500" s="24" t="s">
        <v>2059</v>
      </c>
      <c r="G500" s="29" t="s">
        <v>2486</v>
      </c>
      <c r="H500" s="24" t="s">
        <v>2487</v>
      </c>
      <c r="I500" s="24" t="s">
        <v>2062</v>
      </c>
      <c r="J500" s="24" t="s">
        <v>2063</v>
      </c>
      <c r="K500" s="24" t="s">
        <v>2062</v>
      </c>
      <c r="L500" s="24" t="s">
        <v>2488</v>
      </c>
    </row>
    <row r="501" spans="1:12" ht="25.15" customHeight="1" x14ac:dyDescent="0.25">
      <c r="A501" s="29" t="s">
        <v>2008</v>
      </c>
      <c r="B501" s="29" t="s">
        <v>2010</v>
      </c>
      <c r="C501" s="29" t="s">
        <v>2493</v>
      </c>
      <c r="D501" s="29" t="s">
        <v>2123</v>
      </c>
      <c r="E501" s="31">
        <v>45222</v>
      </c>
      <c r="F501" s="24" t="s">
        <v>1207</v>
      </c>
      <c r="G501" s="29" t="s">
        <v>2494</v>
      </c>
      <c r="H501" s="24">
        <v>3</v>
      </c>
      <c r="I501" s="24">
        <v>0</v>
      </c>
      <c r="J501" s="24" t="s">
        <v>539</v>
      </c>
      <c r="K501" s="24">
        <v>0</v>
      </c>
      <c r="L501" s="24" t="s">
        <v>2255</v>
      </c>
    </row>
    <row r="502" spans="1:12" ht="25.15" customHeight="1" x14ac:dyDescent="0.25">
      <c r="A502" s="29" t="s">
        <v>2030</v>
      </c>
      <c r="B502" s="29" t="s">
        <v>2032</v>
      </c>
      <c r="C502" s="29" t="s">
        <v>1206</v>
      </c>
      <c r="D502" s="29" t="s">
        <v>2496</v>
      </c>
      <c r="E502" s="31" t="s">
        <v>2497</v>
      </c>
      <c r="F502" s="24" t="s">
        <v>1209</v>
      </c>
      <c r="G502" s="29" t="s">
        <v>539</v>
      </c>
      <c r="H502" s="24">
        <v>0</v>
      </c>
      <c r="I502" s="24">
        <v>0</v>
      </c>
      <c r="J502" s="24" t="s">
        <v>539</v>
      </c>
      <c r="K502" s="24">
        <v>0</v>
      </c>
      <c r="L502" s="24" t="s">
        <v>539</v>
      </c>
    </row>
    <row r="503" spans="1:12" ht="25.15" customHeight="1" x14ac:dyDescent="0.25">
      <c r="A503" s="29" t="s">
        <v>1979</v>
      </c>
      <c r="B503" s="29" t="s">
        <v>1981</v>
      </c>
      <c r="C503" s="29" t="s">
        <v>1982</v>
      </c>
      <c r="D503" s="29">
        <v>0</v>
      </c>
      <c r="E503" s="31" t="s">
        <v>2497</v>
      </c>
      <c r="F503" s="24" t="s">
        <v>2059</v>
      </c>
      <c r="G503" s="29" t="s">
        <v>2498</v>
      </c>
      <c r="H503" s="24">
        <v>4</v>
      </c>
      <c r="I503" s="24">
        <v>0</v>
      </c>
      <c r="J503" s="24" t="s">
        <v>539</v>
      </c>
      <c r="K503" s="24">
        <v>0</v>
      </c>
      <c r="L503" s="24" t="s">
        <v>2174</v>
      </c>
    </row>
    <row r="504" spans="1:12" ht="25.15" customHeight="1" x14ac:dyDescent="0.25">
      <c r="A504" s="29" t="s">
        <v>2040</v>
      </c>
      <c r="B504" s="29" t="s">
        <v>2501</v>
      </c>
      <c r="C504" s="29" t="s">
        <v>1434</v>
      </c>
      <c r="D504" s="29" t="s">
        <v>2132</v>
      </c>
      <c r="E504" s="31" t="s">
        <v>2466</v>
      </c>
      <c r="F504" s="24" t="s">
        <v>1209</v>
      </c>
      <c r="G504" s="29" t="s">
        <v>2502</v>
      </c>
      <c r="H504" s="24">
        <v>4</v>
      </c>
      <c r="I504" s="24">
        <v>0</v>
      </c>
      <c r="J504" s="24" t="s">
        <v>539</v>
      </c>
      <c r="K504" s="24">
        <v>0</v>
      </c>
      <c r="L504" s="24" t="s">
        <v>2503</v>
      </c>
    </row>
    <row r="505" spans="1:12" ht="25.15" customHeight="1" x14ac:dyDescent="0.25">
      <c r="A505" s="29" t="s">
        <v>31</v>
      </c>
      <c r="B505" s="29" t="s">
        <v>2506</v>
      </c>
      <c r="C505" s="29" t="s">
        <v>1759</v>
      </c>
      <c r="D505" s="29" t="s">
        <v>1186</v>
      </c>
      <c r="E505" s="31" t="s">
        <v>2507</v>
      </c>
      <c r="F505" s="24" t="s">
        <v>2059</v>
      </c>
      <c r="G505" s="29" t="s">
        <v>2508</v>
      </c>
      <c r="H505" s="24">
        <v>2</v>
      </c>
      <c r="I505" s="24">
        <v>0</v>
      </c>
      <c r="J505" s="24" t="s">
        <v>539</v>
      </c>
      <c r="K505" s="24">
        <v>0</v>
      </c>
      <c r="L505" s="24" t="s">
        <v>2509</v>
      </c>
    </row>
    <row r="506" spans="1:12" ht="25.15" customHeight="1" x14ac:dyDescent="0.25">
      <c r="A506" s="29" t="s">
        <v>2541</v>
      </c>
      <c r="B506" s="29" t="s">
        <v>2542</v>
      </c>
      <c r="C506" s="29" t="s">
        <v>1206</v>
      </c>
      <c r="D506" s="29" t="s">
        <v>2496</v>
      </c>
      <c r="E506" s="31">
        <v>45337</v>
      </c>
      <c r="F506" s="24" t="s">
        <v>1207</v>
      </c>
      <c r="G506" s="29" t="s">
        <v>1208</v>
      </c>
      <c r="H506" s="24">
        <v>0</v>
      </c>
      <c r="I506" s="24">
        <v>0</v>
      </c>
      <c r="J506" s="24" t="s">
        <v>539</v>
      </c>
      <c r="K506" s="24">
        <v>0</v>
      </c>
      <c r="L506" s="24" t="s">
        <v>539</v>
      </c>
    </row>
    <row r="507" spans="1:12" ht="25.15" customHeight="1" x14ac:dyDescent="0.25">
      <c r="A507" s="29" t="s">
        <v>1994</v>
      </c>
      <c r="B507" s="29" t="s">
        <v>1999</v>
      </c>
      <c r="C507" s="29" t="s">
        <v>1992</v>
      </c>
      <c r="E507" s="31">
        <v>45411</v>
      </c>
      <c r="F507" s="24" t="s">
        <v>1487</v>
      </c>
      <c r="G507" s="29" t="s">
        <v>2663</v>
      </c>
      <c r="H507" s="24">
        <v>4</v>
      </c>
      <c r="I507" s="24">
        <v>0</v>
      </c>
      <c r="J507" s="24" t="s">
        <v>539</v>
      </c>
      <c r="K507" s="24">
        <v>0</v>
      </c>
    </row>
    <row r="508" spans="1:12" ht="25.15" customHeight="1" x14ac:dyDescent="0.25">
      <c r="A508" s="29" t="s">
        <v>1993</v>
      </c>
      <c r="B508" s="29" t="s">
        <v>1997</v>
      </c>
      <c r="C508" s="29" t="s">
        <v>1992</v>
      </c>
      <c r="E508" s="31">
        <v>45162</v>
      </c>
      <c r="F508" s="24" t="s">
        <v>1487</v>
      </c>
      <c r="G508" s="29" t="s">
        <v>2665</v>
      </c>
      <c r="H508" s="24">
        <v>4</v>
      </c>
      <c r="I508" s="24">
        <v>0</v>
      </c>
      <c r="J508" s="24" t="s">
        <v>539</v>
      </c>
      <c r="K508" s="24">
        <v>0</v>
      </c>
    </row>
    <row r="509" spans="1:12" ht="25.15" customHeight="1" x14ac:dyDescent="0.25">
      <c r="A509" s="29" t="s">
        <v>2005</v>
      </c>
      <c r="B509" s="29" t="s">
        <v>2007</v>
      </c>
      <c r="C509" s="29" t="s">
        <v>2666</v>
      </c>
      <c r="D509" s="29" t="s">
        <v>2668</v>
      </c>
      <c r="E509" s="31">
        <v>45245</v>
      </c>
      <c r="F509" s="24" t="s">
        <v>1487</v>
      </c>
      <c r="G509" s="29" t="s">
        <v>2669</v>
      </c>
      <c r="H509" s="24">
        <v>2</v>
      </c>
      <c r="I509" s="24">
        <v>2</v>
      </c>
      <c r="J509" s="24" t="s">
        <v>539</v>
      </c>
      <c r="K509" s="24">
        <v>0</v>
      </c>
    </row>
    <row r="510" spans="1:12" ht="25.15" customHeight="1" x14ac:dyDescent="0.25">
      <c r="A510" s="29" t="s">
        <v>2005</v>
      </c>
      <c r="B510" s="29" t="s">
        <v>2007</v>
      </c>
      <c r="C510" s="29" t="s">
        <v>2666</v>
      </c>
      <c r="D510" s="29" t="s">
        <v>2668</v>
      </c>
      <c r="E510" s="31">
        <v>45245</v>
      </c>
      <c r="F510" s="24" t="s">
        <v>1487</v>
      </c>
      <c r="G510" s="29" t="s">
        <v>2670</v>
      </c>
      <c r="H510" s="24">
        <v>1</v>
      </c>
      <c r="I510" s="24">
        <v>0</v>
      </c>
    </row>
    <row r="511" spans="1:12" ht="25.15" customHeight="1" x14ac:dyDescent="0.25">
      <c r="A511" s="29" t="s">
        <v>2011</v>
      </c>
      <c r="B511" s="29" t="s">
        <v>2677</v>
      </c>
      <c r="C511" s="29" t="s">
        <v>1914</v>
      </c>
      <c r="D511" s="29" t="s">
        <v>2678</v>
      </c>
      <c r="E511" s="31">
        <v>45362</v>
      </c>
      <c r="F511" s="24" t="s">
        <v>1487</v>
      </c>
      <c r="G511" s="29" t="s">
        <v>2679</v>
      </c>
      <c r="H511" s="24">
        <v>4</v>
      </c>
      <c r="I511" s="24">
        <v>0</v>
      </c>
    </row>
    <row r="512" spans="1:12" ht="25.15" customHeight="1" x14ac:dyDescent="0.25">
      <c r="A512" s="29" t="s">
        <v>2011</v>
      </c>
      <c r="B512" s="29" t="s">
        <v>2677</v>
      </c>
      <c r="C512" s="29" t="s">
        <v>1914</v>
      </c>
      <c r="D512" s="29" t="s">
        <v>2678</v>
      </c>
      <c r="E512" s="31">
        <v>45362</v>
      </c>
      <c r="F512" s="24" t="s">
        <v>1487</v>
      </c>
      <c r="G512" s="29" t="s">
        <v>2680</v>
      </c>
      <c r="H512" s="24">
        <v>4</v>
      </c>
      <c r="I512" s="24">
        <v>0</v>
      </c>
    </row>
    <row r="513" spans="1:11" ht="25.15" customHeight="1" x14ac:dyDescent="0.25">
      <c r="A513" s="29" t="s">
        <v>2016</v>
      </c>
      <c r="B513" s="29" t="s">
        <v>2021</v>
      </c>
      <c r="C513" s="29" t="s">
        <v>1799</v>
      </c>
      <c r="D513" s="29" t="s">
        <v>2123</v>
      </c>
      <c r="E513" s="31">
        <v>45419</v>
      </c>
      <c r="F513" s="24" t="s">
        <v>1209</v>
      </c>
      <c r="G513" s="29" t="s">
        <v>2687</v>
      </c>
      <c r="H513" s="24">
        <v>0</v>
      </c>
      <c r="I513" s="24">
        <v>3</v>
      </c>
      <c r="J513" s="24">
        <v>1</v>
      </c>
    </row>
    <row r="514" spans="1:11" ht="25.15" customHeight="1" x14ac:dyDescent="0.25">
      <c r="A514" s="29" t="s">
        <v>2016</v>
      </c>
      <c r="B514" s="29" t="s">
        <v>2021</v>
      </c>
      <c r="C514" s="29" t="s">
        <v>1799</v>
      </c>
      <c r="D514" s="29" t="s">
        <v>2123</v>
      </c>
      <c r="E514" s="31">
        <v>45419</v>
      </c>
      <c r="F514" s="24" t="s">
        <v>1209</v>
      </c>
      <c r="G514" s="29" t="s">
        <v>2688</v>
      </c>
      <c r="H514" s="24">
        <v>0</v>
      </c>
      <c r="K514" s="24">
        <v>1</v>
      </c>
    </row>
    <row r="515" spans="1:11" ht="25.15" customHeight="1" x14ac:dyDescent="0.25">
      <c r="A515" s="29" t="s">
        <v>2017</v>
      </c>
      <c r="B515" s="29" t="s">
        <v>2693</v>
      </c>
      <c r="C515" s="29" t="s">
        <v>593</v>
      </c>
      <c r="D515" s="29" t="s">
        <v>2496</v>
      </c>
      <c r="E515" s="31">
        <v>45427</v>
      </c>
      <c r="F515" s="24" t="s">
        <v>1209</v>
      </c>
      <c r="G515" s="29" t="s">
        <v>2694</v>
      </c>
      <c r="H515" s="24">
        <v>2</v>
      </c>
      <c r="I515" s="24">
        <v>0</v>
      </c>
      <c r="J515" s="24">
        <v>0</v>
      </c>
      <c r="K515" s="24">
        <v>0</v>
      </c>
    </row>
    <row r="516" spans="1:11" ht="25.15" customHeight="1" x14ac:dyDescent="0.25">
      <c r="A516" s="29" t="s">
        <v>2024</v>
      </c>
      <c r="B516" s="29" t="s">
        <v>2026</v>
      </c>
      <c r="C516" s="29" t="s">
        <v>1242</v>
      </c>
      <c r="D516" s="29" t="s">
        <v>2129</v>
      </c>
      <c r="E516" s="31">
        <v>45372</v>
      </c>
      <c r="F516" s="24" t="s">
        <v>1487</v>
      </c>
      <c r="H516" s="24">
        <v>2</v>
      </c>
      <c r="I516" s="24">
        <v>2</v>
      </c>
    </row>
    <row r="517" spans="1:11" ht="25.15" customHeight="1" x14ac:dyDescent="0.25">
      <c r="A517" s="29" t="s">
        <v>1983</v>
      </c>
      <c r="B517" s="29" t="s">
        <v>1985</v>
      </c>
      <c r="C517" s="29" t="s">
        <v>1982</v>
      </c>
      <c r="E517" s="31">
        <v>45201</v>
      </c>
      <c r="F517" s="24" t="s">
        <v>1487</v>
      </c>
      <c r="G517" s="29" t="s">
        <v>2698</v>
      </c>
      <c r="H517" s="24">
        <v>4</v>
      </c>
      <c r="I517" s="24">
        <v>4</v>
      </c>
    </row>
    <row r="518" spans="1:11" ht="25.15" customHeight="1" x14ac:dyDescent="0.25">
      <c r="A518" s="29" t="s">
        <v>1989</v>
      </c>
      <c r="B518" s="29" t="s">
        <v>1991</v>
      </c>
      <c r="C518" s="29" t="s">
        <v>1992</v>
      </c>
      <c r="E518" s="31">
        <v>45219</v>
      </c>
      <c r="F518" s="24" t="s">
        <v>1487</v>
      </c>
      <c r="G518" s="29" t="s">
        <v>2701</v>
      </c>
      <c r="H518" s="24">
        <v>5</v>
      </c>
      <c r="I518" s="24">
        <v>0</v>
      </c>
      <c r="J518" s="24">
        <v>0</v>
      </c>
    </row>
    <row r="519" spans="1:11" ht="25.15" customHeight="1" x14ac:dyDescent="0.25">
      <c r="A519" s="29" t="str">
        <f>'Table APOQUA files'!D636</f>
        <v>01266_22_00141</v>
      </c>
      <c r="B519" s="29" t="str">
        <f>'Table APOQUA files'!F636</f>
        <v>MULTIFUNCTION ELECTRONIC CASE PROJECTOR</v>
      </c>
      <c r="C519" s="29" t="str">
        <f>'Table APOQUA files'!G636</f>
        <v>Z2A</v>
      </c>
      <c r="D519" s="29" t="str">
        <f>'Table APOQUA files'!I636</f>
        <v>Dashboard and console</v>
      </c>
      <c r="E519" s="31">
        <f>'Table APOQUA files'!K636</f>
        <v>45356</v>
      </c>
      <c r="F519" s="24" t="str">
        <f>'Table APOQUA files'!L636</f>
        <v>Approved</v>
      </c>
      <c r="G519" s="29" t="s">
        <v>2694</v>
      </c>
      <c r="I519" s="24">
        <v>2</v>
      </c>
      <c r="J519" s="24">
        <v>0</v>
      </c>
    </row>
    <row r="520" spans="1:11" ht="25.15" customHeight="1" x14ac:dyDescent="0.25">
      <c r="A520" s="29" t="s">
        <v>2720</v>
      </c>
      <c r="B520" s="29" t="str">
        <f>'Table APOQUA files'!F637</f>
        <v>FRT DEFLECTOR AIR MUD DEFLECTOR</v>
      </c>
      <c r="C520" s="29" t="str">
        <f>'Table APOQUA files'!G637</f>
        <v>K3J</v>
      </c>
      <c r="D520" s="29" t="str">
        <f>'Table APOQUA files'!I637</f>
        <v>Front Face and Hood</v>
      </c>
      <c r="E520" s="31">
        <f>'Table APOQUA files'!K637</f>
        <v>45366</v>
      </c>
      <c r="F520" s="24" t="str">
        <f>'Table APOQUA files'!L637</f>
        <v>Approved</v>
      </c>
      <c r="G520" s="29" t="s">
        <v>2723</v>
      </c>
      <c r="H520" s="24">
        <v>1</v>
      </c>
      <c r="J520" s="24">
        <v>9817524380</v>
      </c>
    </row>
    <row r="521" spans="1:11" ht="25.15" customHeight="1" x14ac:dyDescent="0.25">
      <c r="A521" s="29" t="s">
        <v>2727</v>
      </c>
      <c r="B521" s="29" t="str">
        <f>'Table APOQUA files'!F638</f>
        <v>BATTERY COOLING CENTRAL PLATE</v>
      </c>
      <c r="C521" s="29" t="s">
        <v>1342</v>
      </c>
      <c r="D521" s="29" t="s">
        <v>2132</v>
      </c>
      <c r="E521" s="31">
        <f>'Table APOQUA files'!K638</f>
        <v>45425</v>
      </c>
      <c r="F521" s="24" t="str">
        <f>'Table APOQUA files'!L638</f>
        <v>Approved</v>
      </c>
      <c r="G521" s="29" t="s">
        <v>2730</v>
      </c>
    </row>
    <row r="522" spans="1:11" ht="25.15" customHeight="1" x14ac:dyDescent="0.25">
      <c r="A522" s="29" t="s">
        <v>2735</v>
      </c>
      <c r="B522" s="29" t="str">
        <f>'Table APOQUA files'!F639</f>
        <v>INF PIVOT BALL</v>
      </c>
      <c r="C522" s="29" t="s">
        <v>1726</v>
      </c>
      <c r="D522" s="29" t="s">
        <v>2678</v>
      </c>
      <c r="E522" s="31">
        <f>'Table APOQUA files'!K639</f>
        <v>45425</v>
      </c>
      <c r="F522" s="24" t="str">
        <f>'Table APOQUA files'!L639</f>
        <v>Approved</v>
      </c>
      <c r="G522" s="29" t="s">
        <v>2738</v>
      </c>
    </row>
    <row r="523" spans="1:11" ht="25.15" customHeight="1" x14ac:dyDescent="0.25">
      <c r="A523" s="29" t="str">
        <f>'Table APOQUA files'!D640</f>
        <v>01266_23_00454</v>
      </c>
      <c r="B523" s="29" t="str">
        <f>'Table APOQUA files'!F640</f>
        <v>RADAR HATCH</v>
      </c>
      <c r="C523" s="29" t="str">
        <f>'Table APOQUA files'!G640</f>
        <v>R1A</v>
      </c>
      <c r="D523" s="29" t="str">
        <f>'Table APOQUA files'!I640</f>
        <v>Front Face and Hood</v>
      </c>
      <c r="E523" s="31">
        <f>'Table APOQUA files'!K640</f>
        <v>45357</v>
      </c>
      <c r="F523" s="24" t="s">
        <v>1487</v>
      </c>
    </row>
    <row r="524" spans="1:11" ht="25.15" customHeight="1" x14ac:dyDescent="0.25">
      <c r="A524" s="29" t="str">
        <f>'Table APOQUA files'!D641</f>
        <v>01266_23_00458</v>
      </c>
      <c r="B524" s="29" t="str">
        <f>'Table APOQUA files'!F641</f>
        <v>DASHBOARD SUPPORT</v>
      </c>
      <c r="C524" s="29" t="str">
        <f>'Table APOQUA files'!G641</f>
        <v>S1A</v>
      </c>
      <c r="D524" s="29" t="str">
        <f>'Table APOQUA files'!I641</f>
        <v>Dashboard and console</v>
      </c>
      <c r="E524" s="31">
        <f>'Table APOQUA files'!K641</f>
        <v>45638</v>
      </c>
      <c r="F524" s="24" t="s">
        <v>1487</v>
      </c>
      <c r="G524" s="29" t="s">
        <v>2747</v>
      </c>
    </row>
    <row r="525" spans="1:11" ht="25.15" customHeight="1" x14ac:dyDescent="0.25">
      <c r="A525" s="29" t="str">
        <f>'Table APOQUA files'!D642</f>
        <v>01266_23_00456</v>
      </c>
      <c r="B525" s="29" t="str">
        <f>'Table APOQUA files'!F642</f>
        <v>HARNESS INSIDE BATTERY INTERLOCK BACK</v>
      </c>
      <c r="C525" s="29" t="str">
        <f>'Table APOQUA files'!G642</f>
        <v>Z1A</v>
      </c>
      <c r="D525" s="29" t="str">
        <f>'Table APOQUA files'!I642</f>
        <v>Harness and ECUs</v>
      </c>
      <c r="E525" s="31">
        <f>'Table APOQUA files'!K642</f>
        <v>45568</v>
      </c>
      <c r="F525" s="24" t="s">
        <v>1487</v>
      </c>
      <c r="G525" s="29" t="s">
        <v>2754</v>
      </c>
    </row>
    <row r="526" spans="1:11" ht="25.15" customHeight="1" x14ac:dyDescent="0.25"/>
    <row r="527" spans="1:11" ht="25.15" customHeight="1" x14ac:dyDescent="0.25"/>
    <row r="528" spans="1:11" ht="25.15" customHeight="1" x14ac:dyDescent="0.25"/>
    <row r="529" ht="25.15" customHeight="1" x14ac:dyDescent="0.25"/>
    <row r="530" ht="25.15" customHeight="1" x14ac:dyDescent="0.25"/>
    <row r="531" ht="25.15" customHeight="1" x14ac:dyDescent="0.25"/>
    <row r="532" ht="25.15" customHeight="1" x14ac:dyDescent="0.25"/>
    <row r="533" ht="25.15" customHeight="1" x14ac:dyDescent="0.25"/>
    <row r="534" ht="25.15" customHeight="1" x14ac:dyDescent="0.25"/>
    <row r="535" ht="25.15" customHeight="1" x14ac:dyDescent="0.25"/>
    <row r="536" ht="25.15" customHeight="1" x14ac:dyDescent="0.25"/>
    <row r="537" ht="25.15" customHeight="1" x14ac:dyDescent="0.25"/>
    <row r="538" ht="25.15" customHeight="1" x14ac:dyDescent="0.25"/>
    <row r="539" ht="25.15" customHeight="1" x14ac:dyDescent="0.25"/>
    <row r="540" ht="25.15" customHeight="1" x14ac:dyDescent="0.25"/>
    <row r="541" ht="25.15" customHeight="1" x14ac:dyDescent="0.25"/>
    <row r="542" ht="25.15" customHeight="1" x14ac:dyDescent="0.25"/>
    <row r="543" ht="25.15" customHeight="1" x14ac:dyDescent="0.25"/>
    <row r="544" ht="25.15" customHeight="1" x14ac:dyDescent="0.25"/>
    <row r="545" ht="25.15" customHeight="1" x14ac:dyDescent="0.25"/>
    <row r="546" ht="25.15" customHeight="1" x14ac:dyDescent="0.25"/>
    <row r="547" ht="25.15" customHeight="1" x14ac:dyDescent="0.25"/>
    <row r="548" ht="25.15" customHeight="1" x14ac:dyDescent="0.25"/>
    <row r="549" ht="25.15" customHeight="1" x14ac:dyDescent="0.25"/>
    <row r="550" ht="25.15" customHeight="1" x14ac:dyDescent="0.25"/>
    <row r="551" ht="25.15" customHeight="1" x14ac:dyDescent="0.25"/>
    <row r="552" ht="25.15" customHeight="1" x14ac:dyDescent="0.25"/>
    <row r="553" ht="25.15" customHeight="1" x14ac:dyDescent="0.25"/>
    <row r="554" ht="25.15" customHeight="1" x14ac:dyDescent="0.25"/>
    <row r="555" ht="25.15" customHeight="1" x14ac:dyDescent="0.25"/>
    <row r="556" ht="25.15" customHeight="1" x14ac:dyDescent="0.25"/>
    <row r="557" ht="25.15" customHeight="1" x14ac:dyDescent="0.25"/>
    <row r="558" ht="25.15" customHeight="1" x14ac:dyDescent="0.25"/>
    <row r="559" ht="25.15" customHeight="1" x14ac:dyDescent="0.25"/>
    <row r="560" ht="25.15" customHeight="1" x14ac:dyDescent="0.25"/>
    <row r="561" ht="25.15" customHeight="1" x14ac:dyDescent="0.25"/>
    <row r="562" ht="25.15" customHeight="1" x14ac:dyDescent="0.25"/>
    <row r="563" ht="25.15" customHeight="1" x14ac:dyDescent="0.25"/>
    <row r="564" ht="25.15" customHeight="1" x14ac:dyDescent="0.25"/>
    <row r="565" ht="25.15" customHeight="1" x14ac:dyDescent="0.25"/>
    <row r="566" ht="25.15" customHeight="1" x14ac:dyDescent="0.25"/>
    <row r="567" ht="25.15" customHeight="1" x14ac:dyDescent="0.25"/>
    <row r="568" ht="25.15" customHeight="1" x14ac:dyDescent="0.25"/>
    <row r="569" ht="25.15" customHeight="1" x14ac:dyDescent="0.25"/>
    <row r="570" ht="25.15" customHeight="1" x14ac:dyDescent="0.25"/>
    <row r="571" ht="25.15" customHeight="1" x14ac:dyDescent="0.25"/>
    <row r="572" ht="25.15" customHeight="1" x14ac:dyDescent="0.25"/>
    <row r="573" ht="25.15" customHeight="1" x14ac:dyDescent="0.25"/>
    <row r="574" ht="25.15" customHeight="1" x14ac:dyDescent="0.25"/>
    <row r="575" ht="25.15" customHeight="1" x14ac:dyDescent="0.25"/>
    <row r="576" ht="25.15" customHeight="1" x14ac:dyDescent="0.25"/>
    <row r="577" ht="25.15" customHeight="1" x14ac:dyDescent="0.25"/>
    <row r="578" ht="25.15" customHeight="1" x14ac:dyDescent="0.25"/>
    <row r="579" ht="25.15" customHeight="1" x14ac:dyDescent="0.25"/>
    <row r="580" ht="25.15" customHeight="1" x14ac:dyDescent="0.25"/>
    <row r="581" ht="25.15" customHeight="1" x14ac:dyDescent="0.25"/>
    <row r="582" ht="25.15" customHeight="1" x14ac:dyDescent="0.25"/>
    <row r="583" ht="25.15" customHeight="1" x14ac:dyDescent="0.25"/>
    <row r="584" ht="25.15" customHeight="1" x14ac:dyDescent="0.25"/>
    <row r="585" ht="25.15" customHeight="1" x14ac:dyDescent="0.25"/>
    <row r="586" ht="25.15" customHeight="1" x14ac:dyDescent="0.25"/>
    <row r="587" ht="25.15" customHeight="1" x14ac:dyDescent="0.25"/>
    <row r="588" ht="25.15" customHeight="1" x14ac:dyDescent="0.25"/>
    <row r="589" ht="25.15" customHeight="1" x14ac:dyDescent="0.25"/>
    <row r="590" ht="25.15" customHeight="1" x14ac:dyDescent="0.25"/>
    <row r="591" ht="25.15" customHeight="1" x14ac:dyDescent="0.25"/>
    <row r="592" ht="25.15" customHeight="1" x14ac:dyDescent="0.25"/>
    <row r="593" ht="25.15" customHeight="1" x14ac:dyDescent="0.25"/>
    <row r="594" ht="25.15" customHeight="1" x14ac:dyDescent="0.25"/>
    <row r="595" ht="25.15" customHeight="1" x14ac:dyDescent="0.25"/>
    <row r="596" ht="25.15" customHeight="1" x14ac:dyDescent="0.25"/>
    <row r="597" ht="25.15" customHeight="1" x14ac:dyDescent="0.25"/>
    <row r="598" ht="25.15" customHeight="1" x14ac:dyDescent="0.25"/>
    <row r="599" ht="25.15" customHeight="1" x14ac:dyDescent="0.25"/>
    <row r="600" ht="25.15" customHeight="1" x14ac:dyDescent="0.25"/>
    <row r="601" ht="25.15" customHeight="1" x14ac:dyDescent="0.25"/>
    <row r="602" ht="25.15" customHeight="1" x14ac:dyDescent="0.25"/>
    <row r="603" ht="25.15" customHeight="1" x14ac:dyDescent="0.25"/>
    <row r="604" ht="25.15" customHeight="1" x14ac:dyDescent="0.25"/>
    <row r="605" ht="25.15" customHeight="1" x14ac:dyDescent="0.25"/>
    <row r="606" ht="25.15" customHeight="1" x14ac:dyDescent="0.25"/>
    <row r="607" ht="25.15" customHeight="1" x14ac:dyDescent="0.25"/>
    <row r="608" ht="25.15" customHeight="1" x14ac:dyDescent="0.25"/>
    <row r="609" ht="25.15" customHeight="1" x14ac:dyDescent="0.25"/>
    <row r="610" ht="25.15" customHeight="1" x14ac:dyDescent="0.25"/>
    <row r="611" ht="25.15" customHeight="1" x14ac:dyDescent="0.25"/>
    <row r="612" ht="25.15" customHeight="1" x14ac:dyDescent="0.25"/>
    <row r="613" ht="25.15" customHeight="1" x14ac:dyDescent="0.25"/>
    <row r="614" ht="25.15" customHeight="1" x14ac:dyDescent="0.25"/>
    <row r="615" ht="25.15" customHeight="1" x14ac:dyDescent="0.25"/>
    <row r="616" ht="25.15" customHeight="1" x14ac:dyDescent="0.25"/>
    <row r="617" ht="25.15" customHeight="1" x14ac:dyDescent="0.25"/>
    <row r="618" ht="25.15" customHeight="1" x14ac:dyDescent="0.25"/>
    <row r="619" ht="25.15" customHeight="1" x14ac:dyDescent="0.25"/>
    <row r="620" ht="25.15" customHeight="1" x14ac:dyDescent="0.25"/>
    <row r="621" ht="25.15" customHeight="1" x14ac:dyDescent="0.25"/>
    <row r="622" ht="25.15" customHeight="1" x14ac:dyDescent="0.25"/>
    <row r="623" ht="25.15" customHeight="1" x14ac:dyDescent="0.25"/>
    <row r="624" ht="25.15" customHeight="1" x14ac:dyDescent="0.25"/>
    <row r="625" ht="25.15" customHeight="1" x14ac:dyDescent="0.25"/>
    <row r="626" ht="25.15" customHeight="1" x14ac:dyDescent="0.25"/>
    <row r="627" ht="25.15" customHeight="1" x14ac:dyDescent="0.25"/>
    <row r="628" ht="25.15" customHeight="1" x14ac:dyDescent="0.25"/>
    <row r="629" ht="25.15" customHeight="1" x14ac:dyDescent="0.25"/>
    <row r="630" ht="25.15" customHeight="1" x14ac:dyDescent="0.25"/>
    <row r="631" ht="25.15" customHeight="1" x14ac:dyDescent="0.25"/>
    <row r="632" ht="25.15" customHeight="1" x14ac:dyDescent="0.25"/>
    <row r="633" ht="25.15" customHeight="1" x14ac:dyDescent="0.25"/>
    <row r="634" ht="25.15" customHeight="1" x14ac:dyDescent="0.25"/>
    <row r="635" ht="25.15" customHeight="1" x14ac:dyDescent="0.25"/>
    <row r="636" ht="25.15" customHeight="1" x14ac:dyDescent="0.25"/>
    <row r="637" ht="25.15" customHeight="1" x14ac:dyDescent="0.25"/>
    <row r="638" ht="25.15" customHeight="1" x14ac:dyDescent="0.25"/>
    <row r="639" ht="25.15" customHeight="1" x14ac:dyDescent="0.25"/>
    <row r="640" ht="25.15" customHeight="1" x14ac:dyDescent="0.25"/>
    <row r="641" ht="25.15" customHeight="1" x14ac:dyDescent="0.25"/>
    <row r="642" ht="25.15" customHeight="1" x14ac:dyDescent="0.25"/>
    <row r="643" ht="25.15" customHeight="1" x14ac:dyDescent="0.25"/>
    <row r="644" ht="25.15" customHeight="1" x14ac:dyDescent="0.25"/>
    <row r="645" ht="25.15" customHeight="1" x14ac:dyDescent="0.25"/>
    <row r="646" ht="25.15" customHeight="1" x14ac:dyDescent="0.25"/>
    <row r="647" ht="25.15" customHeight="1" x14ac:dyDescent="0.25"/>
    <row r="648" ht="25.15" customHeight="1" x14ac:dyDescent="0.25"/>
    <row r="649" ht="25.15" customHeight="1" x14ac:dyDescent="0.25"/>
    <row r="650" ht="25.15" customHeight="1" x14ac:dyDescent="0.25"/>
    <row r="651" ht="25.15" customHeight="1" x14ac:dyDescent="0.25"/>
    <row r="652" ht="25.15" customHeight="1" x14ac:dyDescent="0.25"/>
    <row r="653" ht="25.15" customHeight="1" x14ac:dyDescent="0.25"/>
    <row r="654" ht="25.15" customHeight="1" x14ac:dyDescent="0.25"/>
    <row r="655" ht="25.15" customHeight="1" x14ac:dyDescent="0.25"/>
    <row r="656" ht="25.15" customHeight="1" x14ac:dyDescent="0.25"/>
    <row r="657" ht="25.15" customHeight="1" x14ac:dyDescent="0.25"/>
    <row r="658" ht="25.15" customHeight="1" x14ac:dyDescent="0.25"/>
    <row r="659" ht="25.15" customHeight="1" x14ac:dyDescent="0.25"/>
    <row r="660" ht="25.15" customHeight="1" x14ac:dyDescent="0.25"/>
    <row r="661" ht="25.15" customHeight="1" x14ac:dyDescent="0.25"/>
    <row r="662" ht="25.15" customHeight="1" x14ac:dyDescent="0.25"/>
    <row r="663" ht="25.15" customHeight="1" x14ac:dyDescent="0.25"/>
    <row r="664" ht="25.15" customHeight="1" x14ac:dyDescent="0.25"/>
    <row r="665" ht="25.15" customHeight="1" x14ac:dyDescent="0.25"/>
    <row r="666" ht="25.15" customHeight="1" x14ac:dyDescent="0.25"/>
    <row r="667" ht="25.15" customHeight="1" x14ac:dyDescent="0.25"/>
    <row r="668" ht="25.15" customHeight="1" x14ac:dyDescent="0.25"/>
    <row r="669" ht="25.15" customHeight="1" x14ac:dyDescent="0.25"/>
    <row r="670" ht="25.15" customHeight="1" x14ac:dyDescent="0.25"/>
    <row r="671" ht="25.15" customHeight="1" x14ac:dyDescent="0.25"/>
    <row r="672" ht="25.15" customHeight="1" x14ac:dyDescent="0.25"/>
    <row r="673" ht="25.15" customHeight="1" x14ac:dyDescent="0.25"/>
    <row r="674" ht="25.15" customHeight="1" x14ac:dyDescent="0.25"/>
    <row r="675" ht="25.15" customHeight="1" x14ac:dyDescent="0.25"/>
    <row r="676" ht="25.15" customHeight="1" x14ac:dyDescent="0.25"/>
    <row r="677" ht="25.15" customHeight="1" x14ac:dyDescent="0.25"/>
    <row r="678" ht="25.15" customHeight="1" x14ac:dyDescent="0.25"/>
    <row r="679" ht="25.15" customHeight="1" x14ac:dyDescent="0.25"/>
    <row r="680" ht="25.15" customHeight="1" x14ac:dyDescent="0.25"/>
    <row r="681" ht="25.15" customHeight="1" x14ac:dyDescent="0.25"/>
    <row r="682" ht="25.15" customHeight="1" x14ac:dyDescent="0.25"/>
    <row r="683" ht="25.15" customHeight="1" x14ac:dyDescent="0.25"/>
    <row r="684" ht="25.15" customHeight="1" x14ac:dyDescent="0.25"/>
    <row r="685" ht="25.15" customHeight="1" x14ac:dyDescent="0.25"/>
    <row r="686" ht="25.15" customHeight="1" x14ac:dyDescent="0.25"/>
    <row r="687" ht="25.15" customHeight="1" x14ac:dyDescent="0.25"/>
    <row r="688" ht="25.15" customHeight="1" x14ac:dyDescent="0.25"/>
    <row r="689" ht="25.15" customHeight="1" x14ac:dyDescent="0.25"/>
    <row r="690" ht="25.15" customHeight="1" x14ac:dyDescent="0.25"/>
    <row r="691" ht="25.15" customHeight="1" x14ac:dyDescent="0.25"/>
    <row r="692" ht="25.15" customHeight="1" x14ac:dyDescent="0.25"/>
    <row r="693" ht="25.15" customHeight="1" x14ac:dyDescent="0.25"/>
    <row r="694" ht="25.15" customHeight="1" x14ac:dyDescent="0.25"/>
    <row r="695" ht="25.15" customHeight="1" x14ac:dyDescent="0.25"/>
    <row r="696" ht="25.15" customHeight="1" x14ac:dyDescent="0.25"/>
    <row r="697" ht="25.15" customHeight="1" x14ac:dyDescent="0.25"/>
    <row r="698" ht="25.15" customHeight="1" x14ac:dyDescent="0.25"/>
    <row r="699" ht="25.15" customHeight="1" x14ac:dyDescent="0.25"/>
    <row r="700" ht="25.15" customHeight="1" x14ac:dyDescent="0.25"/>
    <row r="701" ht="25.15" customHeight="1" x14ac:dyDescent="0.25"/>
    <row r="702" ht="25.15" customHeight="1" x14ac:dyDescent="0.25"/>
    <row r="703" ht="25.15" customHeight="1" x14ac:dyDescent="0.25"/>
    <row r="704" ht="25.15" customHeight="1" x14ac:dyDescent="0.25"/>
    <row r="705" ht="25.15" customHeight="1" x14ac:dyDescent="0.25"/>
    <row r="706" ht="25.15" customHeight="1" x14ac:dyDescent="0.25"/>
    <row r="707" ht="25.15" customHeight="1" x14ac:dyDescent="0.25"/>
    <row r="708" ht="25.15" customHeight="1" x14ac:dyDescent="0.25"/>
    <row r="709" ht="25.15" customHeight="1" x14ac:dyDescent="0.25"/>
    <row r="710" ht="25.15" customHeight="1" x14ac:dyDescent="0.25"/>
    <row r="711" ht="25.15" customHeight="1" x14ac:dyDescent="0.25"/>
    <row r="712" ht="25.15" customHeight="1" x14ac:dyDescent="0.25"/>
    <row r="713" ht="25.15" customHeight="1" x14ac:dyDescent="0.25"/>
    <row r="714" ht="25.15" customHeight="1" x14ac:dyDescent="0.25"/>
    <row r="715" ht="25.15" customHeight="1" x14ac:dyDescent="0.25"/>
    <row r="716" ht="25.15" customHeight="1" x14ac:dyDescent="0.25"/>
    <row r="717" ht="25.15" customHeight="1" x14ac:dyDescent="0.25"/>
    <row r="718" ht="25.15" customHeight="1" x14ac:dyDescent="0.25"/>
    <row r="719" ht="25.15" customHeight="1" x14ac:dyDescent="0.25"/>
    <row r="720" ht="25.15" customHeight="1" x14ac:dyDescent="0.25"/>
    <row r="721" ht="25.15" customHeight="1" x14ac:dyDescent="0.25"/>
    <row r="722" ht="25.15" customHeight="1" x14ac:dyDescent="0.25"/>
    <row r="723" ht="25.15" customHeight="1" x14ac:dyDescent="0.25"/>
    <row r="724" ht="25.15" customHeight="1" x14ac:dyDescent="0.25"/>
    <row r="725" ht="25.15" customHeight="1" x14ac:dyDescent="0.25"/>
    <row r="726" ht="25.15" customHeight="1" x14ac:dyDescent="0.25"/>
    <row r="727" ht="25.15" customHeight="1" x14ac:dyDescent="0.25"/>
    <row r="728" ht="25.15" customHeight="1" x14ac:dyDescent="0.25"/>
    <row r="729" ht="25.15" customHeight="1" x14ac:dyDescent="0.25"/>
    <row r="730" ht="25.15" customHeight="1" x14ac:dyDescent="0.25"/>
    <row r="731" ht="25.15" customHeight="1" x14ac:dyDescent="0.25"/>
    <row r="732" ht="25.15" customHeight="1" x14ac:dyDescent="0.25"/>
    <row r="733" ht="25.15" customHeight="1" x14ac:dyDescent="0.25"/>
    <row r="734" ht="25.15" customHeight="1" x14ac:dyDescent="0.25"/>
    <row r="735" ht="25.15" customHeight="1" x14ac:dyDescent="0.25"/>
    <row r="736" ht="25.15" customHeight="1" x14ac:dyDescent="0.25"/>
    <row r="737" ht="25.15" customHeight="1" x14ac:dyDescent="0.25"/>
    <row r="738" ht="25.15" customHeight="1" x14ac:dyDescent="0.25"/>
    <row r="739" ht="25.15" customHeight="1" x14ac:dyDescent="0.25"/>
    <row r="740" ht="25.15" customHeight="1" x14ac:dyDescent="0.25"/>
    <row r="741" ht="25.15" customHeight="1" x14ac:dyDescent="0.25"/>
    <row r="742" ht="25.15" customHeight="1" x14ac:dyDescent="0.25"/>
    <row r="743" ht="25.15" customHeight="1" x14ac:dyDescent="0.25"/>
    <row r="744" ht="25.15" customHeight="1" x14ac:dyDescent="0.25"/>
    <row r="745" ht="25.15" customHeight="1" x14ac:dyDescent="0.25"/>
    <row r="746" ht="25.15" customHeight="1" x14ac:dyDescent="0.25"/>
    <row r="747" ht="25.15" customHeight="1" x14ac:dyDescent="0.25"/>
    <row r="748" ht="25.15" customHeight="1" x14ac:dyDescent="0.25"/>
    <row r="749" ht="25.15" customHeight="1" x14ac:dyDescent="0.25"/>
    <row r="750" ht="25.15" customHeight="1" x14ac:dyDescent="0.25"/>
    <row r="751" ht="25.15" customHeight="1" x14ac:dyDescent="0.25"/>
    <row r="752" ht="25.15" customHeight="1" x14ac:dyDescent="0.25"/>
    <row r="753" ht="25.15" customHeight="1" x14ac:dyDescent="0.25"/>
    <row r="754" ht="25.15" customHeight="1" x14ac:dyDescent="0.25"/>
    <row r="755" ht="25.15" customHeight="1" x14ac:dyDescent="0.25"/>
    <row r="756" ht="25.15" customHeight="1" x14ac:dyDescent="0.25"/>
    <row r="757" ht="25.15" customHeight="1" x14ac:dyDescent="0.25"/>
    <row r="758" ht="25.15" customHeight="1" x14ac:dyDescent="0.25"/>
    <row r="759" ht="25.15" customHeight="1" x14ac:dyDescent="0.25"/>
    <row r="760" ht="25.15" customHeight="1" x14ac:dyDescent="0.25"/>
    <row r="761" ht="25.15" customHeight="1" x14ac:dyDescent="0.25"/>
    <row r="762" ht="25.15" customHeight="1" x14ac:dyDescent="0.25"/>
  </sheetData>
  <autoFilter ref="A1:N506"/>
  <conditionalFormatting sqref="D499">
    <cfRule type="expression" dxfId="1" priority="1">
      <formula>($J499="non applicable")</formula>
    </cfRule>
    <cfRule type="expression" dxfId="0" priority="2">
      <formula>($J499="canceled")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136"/>
  <sheetViews>
    <sheetView workbookViewId="0">
      <pane ySplit="1" topLeftCell="A2" activePane="bottomLeft" state="frozen"/>
      <selection pane="bottomLeft" activeCell="L139" sqref="L139"/>
    </sheetView>
  </sheetViews>
  <sheetFormatPr baseColWidth="10" defaultColWidth="11.5703125" defaultRowHeight="12.75" x14ac:dyDescent="0.2"/>
  <cols>
    <col min="1" max="1" width="12.140625" style="25" bestFit="1" customWidth="1"/>
    <col min="2" max="2" width="44" style="25" bestFit="1" customWidth="1"/>
    <col min="3" max="3" width="11.5703125" style="26"/>
    <col min="4" max="4" width="11.7109375" style="26" bestFit="1" customWidth="1"/>
    <col min="5" max="6" width="11.5703125" style="26"/>
    <col min="7" max="7" width="11.5703125" style="25"/>
    <col min="8" max="8" width="11.5703125" style="26"/>
    <col min="9" max="10" width="11.7109375" style="26" bestFit="1" customWidth="1"/>
    <col min="11" max="11" width="20.7109375" style="25" customWidth="1"/>
    <col min="12" max="12" width="59.42578125" style="25" customWidth="1"/>
    <col min="13" max="13" width="17" style="25" bestFit="1" customWidth="1"/>
    <col min="14" max="14" width="15.42578125" style="25" bestFit="1" customWidth="1"/>
    <col min="15" max="16384" width="11.5703125" style="25"/>
  </cols>
  <sheetData>
    <row r="1" spans="1:16" s="27" customFormat="1" ht="30.6" customHeight="1" x14ac:dyDescent="0.25">
      <c r="A1" s="27" t="s">
        <v>2065</v>
      </c>
      <c r="B1" s="27" t="s">
        <v>2577</v>
      </c>
      <c r="C1" s="27" t="s">
        <v>2066</v>
      </c>
      <c r="D1" s="27" t="s">
        <v>2067</v>
      </c>
      <c r="E1" s="27" t="s">
        <v>2068</v>
      </c>
      <c r="F1" s="27" t="s">
        <v>2069</v>
      </c>
      <c r="G1" s="27" t="s">
        <v>2070</v>
      </c>
      <c r="H1" s="27" t="s">
        <v>2071</v>
      </c>
      <c r="I1" s="27" t="s">
        <v>2072</v>
      </c>
      <c r="J1" s="27" t="s">
        <v>2073</v>
      </c>
      <c r="K1" s="27" t="s">
        <v>2074</v>
      </c>
      <c r="L1" s="27" t="s">
        <v>2075</v>
      </c>
      <c r="M1" s="27" t="s">
        <v>2076</v>
      </c>
      <c r="N1" s="27" t="s">
        <v>2077</v>
      </c>
      <c r="O1" s="27" t="s">
        <v>2078</v>
      </c>
      <c r="P1" s="27" t="s">
        <v>2079</v>
      </c>
    </row>
    <row r="2" spans="1:16" x14ac:dyDescent="0.2">
      <c r="A2" s="25">
        <v>9809840080</v>
      </c>
      <c r="B2" s="25" t="s">
        <v>2623</v>
      </c>
      <c r="C2" s="26" t="s">
        <v>2083</v>
      </c>
      <c r="D2" s="26">
        <v>1</v>
      </c>
      <c r="E2" s="26" t="s">
        <v>599</v>
      </c>
      <c r="F2" s="26" t="s">
        <v>1513</v>
      </c>
      <c r="G2" s="25" t="s">
        <v>2056</v>
      </c>
      <c r="H2" s="26" t="s">
        <v>2084</v>
      </c>
      <c r="I2" s="26">
        <v>8</v>
      </c>
      <c r="J2" s="26">
        <v>15</v>
      </c>
      <c r="K2" s="25" t="s">
        <v>574</v>
      </c>
      <c r="L2" s="25" t="s">
        <v>2080</v>
      </c>
      <c r="M2" s="25" t="s">
        <v>2059</v>
      </c>
      <c r="N2" s="25" t="s">
        <v>1208</v>
      </c>
      <c r="O2" s="25" t="s">
        <v>2081</v>
      </c>
      <c r="P2" s="25" t="s">
        <v>2082</v>
      </c>
    </row>
    <row r="3" spans="1:16" x14ac:dyDescent="0.2">
      <c r="A3" s="25">
        <v>7903042051</v>
      </c>
      <c r="B3" s="25" t="s">
        <v>2581</v>
      </c>
      <c r="C3" s="26" t="s">
        <v>2085</v>
      </c>
      <c r="D3" s="26">
        <v>1</v>
      </c>
      <c r="E3" s="26" t="s">
        <v>599</v>
      </c>
      <c r="F3" s="26" t="s">
        <v>1513</v>
      </c>
      <c r="G3" s="25" t="s">
        <v>2056</v>
      </c>
      <c r="H3" s="26" t="s">
        <v>2084</v>
      </c>
      <c r="I3" s="26">
        <v>8</v>
      </c>
      <c r="J3" s="26">
        <v>15</v>
      </c>
      <c r="K3" s="25" t="s">
        <v>574</v>
      </c>
      <c r="L3" s="25" t="s">
        <v>2080</v>
      </c>
      <c r="M3" s="25" t="s">
        <v>2059</v>
      </c>
      <c r="N3" s="25" t="s">
        <v>1208</v>
      </c>
      <c r="O3" s="25" t="s">
        <v>2081</v>
      </c>
      <c r="P3" s="25" t="s">
        <v>2086</v>
      </c>
    </row>
    <row r="4" spans="1:16" x14ac:dyDescent="0.2">
      <c r="A4" s="25">
        <v>7903233042</v>
      </c>
      <c r="B4" s="25" t="s">
        <v>2587</v>
      </c>
      <c r="C4" s="26" t="s">
        <v>2083</v>
      </c>
      <c r="D4" s="26">
        <v>2</v>
      </c>
      <c r="E4" s="26" t="s">
        <v>1175</v>
      </c>
      <c r="F4" s="26" t="s">
        <v>1244</v>
      </c>
      <c r="G4" s="25" t="s">
        <v>2282</v>
      </c>
      <c r="H4" s="26" t="s">
        <v>2084</v>
      </c>
      <c r="I4" s="26">
        <v>8</v>
      </c>
      <c r="J4" s="26">
        <v>15</v>
      </c>
      <c r="K4" s="25" t="s">
        <v>118</v>
      </c>
      <c r="L4" s="25" t="s">
        <v>2285</v>
      </c>
      <c r="M4" s="25" t="s">
        <v>2059</v>
      </c>
      <c r="N4" s="25" t="s">
        <v>2286</v>
      </c>
      <c r="O4" s="25" t="s">
        <v>2081</v>
      </c>
      <c r="P4" s="25" t="s">
        <v>2082</v>
      </c>
    </row>
    <row r="5" spans="1:16" x14ac:dyDescent="0.2">
      <c r="A5" s="25">
        <v>9818361480</v>
      </c>
      <c r="B5" s="25" t="s">
        <v>2627</v>
      </c>
      <c r="C5" s="26" t="s">
        <v>2085</v>
      </c>
      <c r="D5" s="26">
        <v>2</v>
      </c>
      <c r="E5" s="26" t="s">
        <v>1175</v>
      </c>
      <c r="F5" s="26" t="s">
        <v>1244</v>
      </c>
      <c r="G5" s="25" t="s">
        <v>2282</v>
      </c>
      <c r="H5" s="26" t="s">
        <v>2084</v>
      </c>
      <c r="I5" s="26">
        <v>8</v>
      </c>
      <c r="J5" s="26">
        <v>15</v>
      </c>
      <c r="K5" s="25" t="s">
        <v>118</v>
      </c>
      <c r="L5" s="25" t="s">
        <v>2285</v>
      </c>
      <c r="M5" s="25" t="s">
        <v>2059</v>
      </c>
      <c r="N5" s="25" t="s">
        <v>2286</v>
      </c>
      <c r="O5" s="25" t="s">
        <v>2081</v>
      </c>
      <c r="P5" s="25" t="s">
        <v>2086</v>
      </c>
    </row>
    <row r="6" spans="1:16" x14ac:dyDescent="0.2">
      <c r="A6" s="25">
        <v>9677602580</v>
      </c>
      <c r="B6" s="25" t="s">
        <v>2607</v>
      </c>
      <c r="C6" s="26" t="s">
        <v>2083</v>
      </c>
      <c r="D6" s="26">
        <v>4</v>
      </c>
      <c r="E6" s="26" t="s">
        <v>612</v>
      </c>
      <c r="F6" s="26" t="s">
        <v>1226</v>
      </c>
      <c r="G6" s="25" t="s">
        <v>2111</v>
      </c>
      <c r="H6" s="26" t="s">
        <v>2290</v>
      </c>
      <c r="I6" s="26">
        <v>30</v>
      </c>
      <c r="J6" s="26">
        <v>15</v>
      </c>
      <c r="K6" s="25" t="s">
        <v>415</v>
      </c>
      <c r="L6" s="32" t="s">
        <v>2297</v>
      </c>
      <c r="M6" s="25" t="s">
        <v>2059</v>
      </c>
      <c r="N6" s="25" t="s">
        <v>2291</v>
      </c>
      <c r="O6" s="25" t="s">
        <v>2081</v>
      </c>
      <c r="P6" s="25" t="s">
        <v>2082</v>
      </c>
    </row>
    <row r="7" spans="1:16" x14ac:dyDescent="0.2">
      <c r="A7" s="25">
        <v>9674743180</v>
      </c>
      <c r="B7" s="25" t="s">
        <v>2605</v>
      </c>
      <c r="C7" s="26" t="s">
        <v>2085</v>
      </c>
      <c r="D7" s="26">
        <v>4</v>
      </c>
      <c r="E7" s="26" t="s">
        <v>612</v>
      </c>
      <c r="F7" s="26" t="s">
        <v>1226</v>
      </c>
      <c r="G7" s="25" t="s">
        <v>2111</v>
      </c>
      <c r="H7" s="26" t="s">
        <v>1208</v>
      </c>
      <c r="I7" s="26" t="s">
        <v>1208</v>
      </c>
      <c r="J7" s="26" t="s">
        <v>1208</v>
      </c>
      <c r="K7" s="25" t="s">
        <v>415</v>
      </c>
      <c r="L7" s="32" t="s">
        <v>2297</v>
      </c>
      <c r="M7" s="25" t="s">
        <v>2059</v>
      </c>
      <c r="N7" s="25" t="s">
        <v>2291</v>
      </c>
      <c r="O7" s="25" t="s">
        <v>2081</v>
      </c>
      <c r="P7" s="25" t="s">
        <v>2086</v>
      </c>
    </row>
    <row r="8" spans="1:16" x14ac:dyDescent="0.2">
      <c r="A8" s="25">
        <v>9822751380</v>
      </c>
      <c r="B8" s="25" t="s">
        <v>2629</v>
      </c>
      <c r="C8" s="26" t="s">
        <v>2083</v>
      </c>
      <c r="D8" s="26">
        <v>1</v>
      </c>
      <c r="E8" s="26" t="s">
        <v>1175</v>
      </c>
      <c r="F8" s="26" t="s">
        <v>1244</v>
      </c>
      <c r="G8" s="25" t="s">
        <v>2292</v>
      </c>
      <c r="H8" s="26" t="s">
        <v>2084</v>
      </c>
      <c r="I8" s="26">
        <v>8</v>
      </c>
      <c r="J8" s="26">
        <v>15</v>
      </c>
      <c r="K8" s="25" t="s">
        <v>119</v>
      </c>
      <c r="L8" s="25" t="s">
        <v>2295</v>
      </c>
      <c r="M8" s="25" t="s">
        <v>2059</v>
      </c>
      <c r="N8" s="25" t="s">
        <v>2296</v>
      </c>
      <c r="O8" s="25" t="s">
        <v>2081</v>
      </c>
      <c r="P8" s="25" t="s">
        <v>2082</v>
      </c>
    </row>
    <row r="9" spans="1:16" x14ac:dyDescent="0.2">
      <c r="A9" s="25">
        <v>7903233042</v>
      </c>
      <c r="B9" s="25" t="s">
        <v>2587</v>
      </c>
      <c r="C9" s="26" t="s">
        <v>2083</v>
      </c>
      <c r="D9" s="26">
        <v>2</v>
      </c>
      <c r="E9" s="26" t="s">
        <v>593</v>
      </c>
      <c r="F9" s="26" t="s">
        <v>1233</v>
      </c>
      <c r="G9" s="25" t="s">
        <v>1250</v>
      </c>
      <c r="H9" s="26" t="s">
        <v>2298</v>
      </c>
      <c r="I9" s="26">
        <v>8</v>
      </c>
      <c r="J9" s="26">
        <v>15</v>
      </c>
      <c r="K9" s="25" t="s">
        <v>165</v>
      </c>
      <c r="L9" s="25" t="s">
        <v>2299</v>
      </c>
      <c r="M9" s="25" t="s">
        <v>2059</v>
      </c>
      <c r="N9" s="25" t="s">
        <v>2300</v>
      </c>
      <c r="O9" s="25" t="s">
        <v>2081</v>
      </c>
      <c r="P9" s="25" t="s">
        <v>2082</v>
      </c>
    </row>
    <row r="10" spans="1:16" x14ac:dyDescent="0.2">
      <c r="A10" s="25">
        <v>9839184780</v>
      </c>
      <c r="B10" s="25" t="s">
        <v>2635</v>
      </c>
      <c r="C10" s="26" t="s">
        <v>2085</v>
      </c>
      <c r="D10" s="26">
        <v>2</v>
      </c>
      <c r="E10" s="26" t="s">
        <v>593</v>
      </c>
      <c r="F10" s="26" t="s">
        <v>1233</v>
      </c>
      <c r="G10" s="25" t="s">
        <v>1250</v>
      </c>
      <c r="H10" s="26" t="s">
        <v>2298</v>
      </c>
      <c r="I10" s="26">
        <v>8</v>
      </c>
      <c r="J10" s="26">
        <v>15</v>
      </c>
      <c r="K10" s="25" t="s">
        <v>165</v>
      </c>
      <c r="L10" s="25" t="s">
        <v>2299</v>
      </c>
      <c r="M10" s="25" t="s">
        <v>2059</v>
      </c>
      <c r="N10" s="25" t="s">
        <v>2300</v>
      </c>
      <c r="O10" s="25" t="s">
        <v>2081</v>
      </c>
      <c r="P10" s="25" t="s">
        <v>2086</v>
      </c>
    </row>
    <row r="11" spans="1:16" x14ac:dyDescent="0.2">
      <c r="A11" s="25">
        <v>9841237880</v>
      </c>
      <c r="B11" s="25" t="s">
        <v>2636</v>
      </c>
      <c r="C11" s="26" t="s">
        <v>2083</v>
      </c>
      <c r="D11" s="26">
        <v>1</v>
      </c>
      <c r="E11" s="26" t="s">
        <v>1180</v>
      </c>
      <c r="F11" s="26" t="s">
        <v>1328</v>
      </c>
      <c r="G11" s="25" t="s">
        <v>1327</v>
      </c>
      <c r="H11" s="26" t="s">
        <v>2298</v>
      </c>
      <c r="I11" s="26">
        <v>30</v>
      </c>
      <c r="J11" s="26">
        <v>15</v>
      </c>
      <c r="K11" s="25" t="s">
        <v>307</v>
      </c>
      <c r="L11" s="25" t="s">
        <v>2304</v>
      </c>
      <c r="M11" s="25" t="s">
        <v>2059</v>
      </c>
      <c r="N11" s="25" t="s">
        <v>2305</v>
      </c>
      <c r="O11" s="25" t="s">
        <v>2081</v>
      </c>
      <c r="P11" s="25" t="s">
        <v>2082</v>
      </c>
    </row>
    <row r="12" spans="1:16" x14ac:dyDescent="0.2">
      <c r="A12" s="25">
        <v>9678660980</v>
      </c>
      <c r="B12" s="25" t="s">
        <v>2609</v>
      </c>
      <c r="C12" s="26" t="s">
        <v>2083</v>
      </c>
      <c r="D12" s="26">
        <v>2</v>
      </c>
      <c r="E12" s="26" t="s">
        <v>608</v>
      </c>
      <c r="F12" s="26" t="s">
        <v>1627</v>
      </c>
      <c r="G12" s="25" t="s">
        <v>2306</v>
      </c>
      <c r="H12" s="26" t="s">
        <v>2298</v>
      </c>
      <c r="I12" s="26">
        <v>20</v>
      </c>
      <c r="J12" s="26">
        <v>15</v>
      </c>
      <c r="K12" s="25" t="s">
        <v>269</v>
      </c>
      <c r="L12" s="32" t="s">
        <v>2309</v>
      </c>
      <c r="M12" s="25" t="s">
        <v>1207</v>
      </c>
      <c r="N12" s="25" t="s">
        <v>2310</v>
      </c>
      <c r="O12" s="25" t="s">
        <v>2081</v>
      </c>
      <c r="P12" s="25" t="s">
        <v>2082</v>
      </c>
    </row>
    <row r="13" spans="1:16" x14ac:dyDescent="0.2">
      <c r="A13" s="25">
        <v>7903301290</v>
      </c>
      <c r="B13" s="25" t="s">
        <v>2590</v>
      </c>
      <c r="C13" s="26" t="s">
        <v>2083</v>
      </c>
      <c r="D13" s="26">
        <v>2</v>
      </c>
      <c r="E13" s="26" t="s">
        <v>608</v>
      </c>
      <c r="F13" s="26" t="s">
        <v>1411</v>
      </c>
      <c r="G13" s="25" t="s">
        <v>2311</v>
      </c>
      <c r="H13" s="26" t="s">
        <v>2084</v>
      </c>
      <c r="I13" s="26">
        <v>8</v>
      </c>
      <c r="J13" s="26">
        <v>15</v>
      </c>
      <c r="K13" s="25" t="s">
        <v>270</v>
      </c>
      <c r="L13" s="25" t="s">
        <v>2314</v>
      </c>
      <c r="M13" s="25" t="s">
        <v>2059</v>
      </c>
      <c r="N13" s="25" t="s">
        <v>2315</v>
      </c>
      <c r="O13" s="25" t="s">
        <v>2081</v>
      </c>
      <c r="P13" s="25" t="s">
        <v>2082</v>
      </c>
    </row>
    <row r="14" spans="1:16" x14ac:dyDescent="0.2">
      <c r="A14" s="25">
        <v>9685216780</v>
      </c>
      <c r="B14" s="25" t="s">
        <v>2614</v>
      </c>
      <c r="C14" s="26" t="s">
        <v>2083</v>
      </c>
      <c r="D14" s="26">
        <v>2</v>
      </c>
      <c r="E14" s="26" t="s">
        <v>608</v>
      </c>
      <c r="F14" s="26" t="s">
        <v>1411</v>
      </c>
      <c r="G14" s="25" t="s">
        <v>2311</v>
      </c>
      <c r="H14" s="26" t="s">
        <v>2084</v>
      </c>
      <c r="I14" s="26">
        <v>8</v>
      </c>
      <c r="J14" s="26">
        <v>15</v>
      </c>
      <c r="K14" s="25" t="s">
        <v>270</v>
      </c>
      <c r="L14" s="25" t="s">
        <v>2314</v>
      </c>
      <c r="M14" s="25" t="s">
        <v>2059</v>
      </c>
      <c r="N14" s="25" t="s">
        <v>2316</v>
      </c>
      <c r="O14" s="25" t="s">
        <v>2081</v>
      </c>
      <c r="P14" s="25" t="s">
        <v>2082</v>
      </c>
    </row>
    <row r="15" spans="1:16" x14ac:dyDescent="0.2">
      <c r="A15" s="25">
        <v>7903042051</v>
      </c>
      <c r="B15" s="25" t="s">
        <v>2581</v>
      </c>
      <c r="C15" s="26" t="s">
        <v>2085</v>
      </c>
      <c r="D15" s="26">
        <v>2</v>
      </c>
      <c r="E15" s="26" t="s">
        <v>608</v>
      </c>
      <c r="F15" s="26" t="s">
        <v>1411</v>
      </c>
      <c r="G15" s="25" t="s">
        <v>2311</v>
      </c>
      <c r="H15" s="26" t="s">
        <v>1208</v>
      </c>
      <c r="I15" s="26" t="s">
        <v>1208</v>
      </c>
      <c r="J15" s="26" t="s">
        <v>1208</v>
      </c>
      <c r="K15" s="25" t="s">
        <v>270</v>
      </c>
      <c r="L15" s="25" t="s">
        <v>2314</v>
      </c>
      <c r="M15" s="25" t="s">
        <v>2059</v>
      </c>
      <c r="N15" s="25" t="s">
        <v>2315</v>
      </c>
      <c r="O15" s="25" t="s">
        <v>2081</v>
      </c>
      <c r="P15" s="25" t="s">
        <v>2086</v>
      </c>
    </row>
    <row r="16" spans="1:16" x14ac:dyDescent="0.2">
      <c r="A16" s="25">
        <v>9634473380</v>
      </c>
      <c r="B16" s="25" t="s">
        <v>2596</v>
      </c>
      <c r="C16" s="26" t="s">
        <v>2085</v>
      </c>
      <c r="D16" s="26">
        <v>2</v>
      </c>
      <c r="E16" s="26" t="s">
        <v>608</v>
      </c>
      <c r="F16" s="26" t="s">
        <v>1411</v>
      </c>
      <c r="G16" s="25" t="s">
        <v>2311</v>
      </c>
      <c r="H16" s="26" t="s">
        <v>1208</v>
      </c>
      <c r="I16" s="26" t="s">
        <v>1208</v>
      </c>
      <c r="J16" s="26" t="s">
        <v>1208</v>
      </c>
      <c r="K16" s="25" t="s">
        <v>270</v>
      </c>
      <c r="L16" s="25" t="s">
        <v>2314</v>
      </c>
      <c r="M16" s="25" t="s">
        <v>2059</v>
      </c>
      <c r="N16" s="25" t="s">
        <v>2315</v>
      </c>
      <c r="O16" s="25" t="s">
        <v>2081</v>
      </c>
      <c r="P16" s="25" t="s">
        <v>2086</v>
      </c>
    </row>
    <row r="17" spans="1:16" x14ac:dyDescent="0.2">
      <c r="A17" s="25">
        <v>7903042051</v>
      </c>
      <c r="B17" s="25" t="s">
        <v>2581</v>
      </c>
      <c r="C17" s="26" t="s">
        <v>2085</v>
      </c>
      <c r="D17" s="26">
        <v>2</v>
      </c>
      <c r="E17" s="26" t="s">
        <v>608</v>
      </c>
      <c r="F17" s="26" t="s">
        <v>1411</v>
      </c>
      <c r="G17" s="25" t="s">
        <v>2311</v>
      </c>
      <c r="H17" s="26" t="s">
        <v>1208</v>
      </c>
      <c r="I17" s="26" t="s">
        <v>1208</v>
      </c>
      <c r="J17" s="26" t="s">
        <v>1208</v>
      </c>
      <c r="K17" s="25" t="s">
        <v>270</v>
      </c>
      <c r="L17" s="25" t="s">
        <v>2314</v>
      </c>
      <c r="M17" s="25" t="s">
        <v>2059</v>
      </c>
      <c r="N17" s="25" t="s">
        <v>2316</v>
      </c>
      <c r="O17" s="25" t="s">
        <v>2081</v>
      </c>
      <c r="P17" s="25" t="s">
        <v>2086</v>
      </c>
    </row>
    <row r="18" spans="1:16" x14ac:dyDescent="0.2">
      <c r="A18" s="25">
        <v>9634473380</v>
      </c>
      <c r="B18" s="25" t="s">
        <v>2596</v>
      </c>
      <c r="C18" s="26" t="s">
        <v>2085</v>
      </c>
      <c r="D18" s="26">
        <v>2</v>
      </c>
      <c r="E18" s="26" t="s">
        <v>608</v>
      </c>
      <c r="F18" s="26" t="s">
        <v>1411</v>
      </c>
      <c r="G18" s="25" t="s">
        <v>2311</v>
      </c>
      <c r="H18" s="26" t="s">
        <v>1208</v>
      </c>
      <c r="I18" s="26" t="s">
        <v>1208</v>
      </c>
      <c r="J18" s="26" t="s">
        <v>1208</v>
      </c>
      <c r="K18" s="25" t="s">
        <v>270</v>
      </c>
      <c r="L18" s="25" t="s">
        <v>2314</v>
      </c>
      <c r="M18" s="25" t="s">
        <v>2059</v>
      </c>
      <c r="N18" s="25" t="s">
        <v>2316</v>
      </c>
      <c r="O18" s="25" t="s">
        <v>2081</v>
      </c>
      <c r="P18" s="25" t="s">
        <v>2086</v>
      </c>
    </row>
    <row r="19" spans="1:16" x14ac:dyDescent="0.2">
      <c r="A19" s="25">
        <v>9685216780</v>
      </c>
      <c r="B19" s="25" t="s">
        <v>2614</v>
      </c>
      <c r="C19" s="26" t="s">
        <v>2083</v>
      </c>
      <c r="D19" s="26">
        <v>2</v>
      </c>
      <c r="E19" s="26" t="s">
        <v>593</v>
      </c>
      <c r="F19" s="26" t="s">
        <v>1233</v>
      </c>
      <c r="G19" s="25" t="s">
        <v>1576</v>
      </c>
      <c r="H19" s="26" t="s">
        <v>2298</v>
      </c>
      <c r="I19" s="26">
        <v>8</v>
      </c>
      <c r="J19" s="26">
        <v>15</v>
      </c>
      <c r="K19" s="25" t="s">
        <v>412</v>
      </c>
      <c r="L19" s="25" t="s">
        <v>2319</v>
      </c>
      <c r="M19" s="25" t="s">
        <v>2059</v>
      </c>
      <c r="N19" s="25" t="s">
        <v>2320</v>
      </c>
      <c r="O19" s="25" t="s">
        <v>2081</v>
      </c>
      <c r="P19" s="25" t="s">
        <v>2082</v>
      </c>
    </row>
    <row r="20" spans="1:16" x14ac:dyDescent="0.2">
      <c r="A20" s="25">
        <v>9849004880</v>
      </c>
      <c r="B20" s="25" t="s">
        <v>2639</v>
      </c>
      <c r="C20" s="26" t="s">
        <v>2083</v>
      </c>
      <c r="D20" s="26">
        <v>4</v>
      </c>
      <c r="E20" s="26" t="s">
        <v>593</v>
      </c>
      <c r="F20" s="26" t="s">
        <v>1233</v>
      </c>
      <c r="G20" s="25" t="s">
        <v>1576</v>
      </c>
      <c r="H20" s="26" t="s">
        <v>2298</v>
      </c>
      <c r="I20" s="26">
        <v>8</v>
      </c>
      <c r="J20" s="26">
        <v>15</v>
      </c>
      <c r="K20" s="25" t="s">
        <v>412</v>
      </c>
      <c r="L20" s="25" t="s">
        <v>2319</v>
      </c>
      <c r="M20" s="25" t="s">
        <v>2059</v>
      </c>
      <c r="N20" s="25" t="s">
        <v>2320</v>
      </c>
      <c r="O20" s="25" t="s">
        <v>2081</v>
      </c>
      <c r="P20" s="25" t="s">
        <v>2082</v>
      </c>
    </row>
    <row r="21" spans="1:16" x14ac:dyDescent="0.2">
      <c r="A21" s="25">
        <v>9675768080</v>
      </c>
      <c r="B21" s="25" t="s">
        <v>2606</v>
      </c>
      <c r="C21" s="26" t="s">
        <v>2083</v>
      </c>
      <c r="D21" s="26">
        <v>3</v>
      </c>
      <c r="E21" s="26" t="s">
        <v>608</v>
      </c>
      <c r="F21" s="26" t="s">
        <v>1627</v>
      </c>
      <c r="G21" s="25" t="s">
        <v>2321</v>
      </c>
      <c r="H21" s="26" t="s">
        <v>2298</v>
      </c>
      <c r="I21" s="26">
        <v>8</v>
      </c>
      <c r="J21" s="26">
        <v>15</v>
      </c>
      <c r="K21" s="25" t="s">
        <v>214</v>
      </c>
      <c r="L21" s="25" t="s">
        <v>2324</v>
      </c>
      <c r="M21" s="25" t="s">
        <v>2059</v>
      </c>
      <c r="N21" s="25" t="s">
        <v>2325</v>
      </c>
      <c r="O21" s="25" t="s">
        <v>2081</v>
      </c>
      <c r="P21" s="25" t="s">
        <v>2082</v>
      </c>
    </row>
    <row r="22" spans="1:16" x14ac:dyDescent="0.2">
      <c r="A22" s="25">
        <v>9824674580</v>
      </c>
      <c r="B22" s="25" t="s">
        <v>2630</v>
      </c>
      <c r="C22" s="26" t="s">
        <v>2083</v>
      </c>
      <c r="D22" s="26">
        <v>2</v>
      </c>
      <c r="E22" s="26" t="s">
        <v>608</v>
      </c>
      <c r="F22" s="26" t="s">
        <v>1411</v>
      </c>
      <c r="G22" s="25" t="s">
        <v>1840</v>
      </c>
      <c r="H22" s="26" t="s">
        <v>2084</v>
      </c>
      <c r="I22" s="26">
        <v>8</v>
      </c>
      <c r="J22" s="26">
        <v>15</v>
      </c>
      <c r="K22" s="25" t="s">
        <v>413</v>
      </c>
      <c r="L22" s="25" t="s">
        <v>2327</v>
      </c>
      <c r="M22" s="25" t="s">
        <v>2059</v>
      </c>
      <c r="N22" s="25" t="s">
        <v>2328</v>
      </c>
      <c r="O22" s="25" t="s">
        <v>2081</v>
      </c>
      <c r="P22" s="25" t="s">
        <v>2082</v>
      </c>
    </row>
    <row r="23" spans="1:16" x14ac:dyDescent="0.2">
      <c r="A23" s="25">
        <v>9684437480</v>
      </c>
      <c r="B23" s="25" t="s">
        <v>2612</v>
      </c>
      <c r="C23" s="26" t="s">
        <v>2083</v>
      </c>
      <c r="D23" s="26">
        <v>1</v>
      </c>
      <c r="E23" s="26" t="s">
        <v>1171</v>
      </c>
      <c r="F23" s="26" t="s">
        <v>1590</v>
      </c>
      <c r="G23" s="25" t="s">
        <v>1589</v>
      </c>
      <c r="H23" s="26" t="s">
        <v>2334</v>
      </c>
      <c r="I23" s="26">
        <v>20</v>
      </c>
      <c r="J23" s="26">
        <v>15</v>
      </c>
      <c r="K23" s="25" t="s">
        <v>20</v>
      </c>
      <c r="L23" s="25" t="s">
        <v>2335</v>
      </c>
      <c r="M23" s="25" t="s">
        <v>2059</v>
      </c>
      <c r="N23" s="25" t="s">
        <v>2336</v>
      </c>
      <c r="O23" s="25" t="s">
        <v>2081</v>
      </c>
      <c r="P23" s="25" t="s">
        <v>2082</v>
      </c>
    </row>
    <row r="24" spans="1:16" x14ac:dyDescent="0.2">
      <c r="A24" s="25">
        <v>9684437480</v>
      </c>
      <c r="B24" s="25" t="s">
        <v>2612</v>
      </c>
      <c r="C24" s="26" t="s">
        <v>2083</v>
      </c>
      <c r="D24" s="26">
        <v>1</v>
      </c>
      <c r="E24" s="26" t="s">
        <v>1171</v>
      </c>
      <c r="F24" s="26" t="s">
        <v>1590</v>
      </c>
      <c r="G24" s="25" t="s">
        <v>1589</v>
      </c>
      <c r="H24" s="26" t="s">
        <v>1208</v>
      </c>
      <c r="I24" s="26" t="s">
        <v>1208</v>
      </c>
      <c r="J24" s="26" t="s">
        <v>1208</v>
      </c>
      <c r="K24" s="25" t="s">
        <v>20</v>
      </c>
      <c r="L24" s="25" t="s">
        <v>2335</v>
      </c>
      <c r="M24" s="25" t="s">
        <v>2059</v>
      </c>
      <c r="N24" s="25" t="s">
        <v>2336</v>
      </c>
      <c r="O24" s="25" t="s">
        <v>2081</v>
      </c>
      <c r="P24" s="25" t="s">
        <v>2082</v>
      </c>
    </row>
    <row r="25" spans="1:16" x14ac:dyDescent="0.2">
      <c r="A25" s="25">
        <v>7903233042</v>
      </c>
      <c r="B25" s="25" t="s">
        <v>2587</v>
      </c>
      <c r="C25" s="26" t="s">
        <v>2083</v>
      </c>
      <c r="D25" s="26">
        <v>1</v>
      </c>
      <c r="E25" s="26" t="s">
        <v>608</v>
      </c>
      <c r="F25" s="26" t="s">
        <v>1268</v>
      </c>
      <c r="G25" s="25" t="s">
        <v>1823</v>
      </c>
      <c r="H25" s="26" t="s">
        <v>2334</v>
      </c>
      <c r="I25" s="26">
        <v>10</v>
      </c>
      <c r="J25" s="26">
        <v>15</v>
      </c>
      <c r="K25" s="25" t="s">
        <v>26</v>
      </c>
      <c r="L25" s="25" t="s">
        <v>2341</v>
      </c>
      <c r="M25" s="25" t="s">
        <v>1207</v>
      </c>
      <c r="N25" s="25" t="s">
        <v>2342</v>
      </c>
      <c r="O25" s="25" t="s">
        <v>2081</v>
      </c>
      <c r="P25" s="25" t="s">
        <v>2082</v>
      </c>
    </row>
    <row r="26" spans="1:16" x14ac:dyDescent="0.2">
      <c r="A26" s="25">
        <v>9678268380</v>
      </c>
      <c r="B26" s="25" t="s">
        <v>2608</v>
      </c>
      <c r="C26" s="26" t="s">
        <v>2083</v>
      </c>
      <c r="D26" s="26">
        <v>1</v>
      </c>
      <c r="E26" s="26" t="s">
        <v>608</v>
      </c>
      <c r="F26" s="26" t="s">
        <v>1268</v>
      </c>
      <c r="G26" s="25" t="s">
        <v>1823</v>
      </c>
      <c r="H26" s="26" t="s">
        <v>2084</v>
      </c>
      <c r="I26" s="26">
        <v>30</v>
      </c>
      <c r="J26" s="26">
        <v>15</v>
      </c>
      <c r="K26" s="25" t="s">
        <v>26</v>
      </c>
      <c r="L26" s="25" t="s">
        <v>2341</v>
      </c>
      <c r="M26" s="25" t="s">
        <v>1207</v>
      </c>
      <c r="N26" s="25" t="s">
        <v>2343</v>
      </c>
      <c r="O26" s="25" t="s">
        <v>2081</v>
      </c>
      <c r="P26" s="25" t="s">
        <v>2082</v>
      </c>
    </row>
    <row r="27" spans="1:16" x14ac:dyDescent="0.2">
      <c r="A27" s="25">
        <v>9682642180</v>
      </c>
      <c r="B27" s="25" t="s">
        <v>2593</v>
      </c>
      <c r="C27" s="26" t="s">
        <v>2085</v>
      </c>
      <c r="D27" s="26">
        <v>1</v>
      </c>
      <c r="E27" s="26" t="s">
        <v>608</v>
      </c>
      <c r="F27" s="26" t="s">
        <v>1268</v>
      </c>
      <c r="G27" s="25" t="s">
        <v>1823</v>
      </c>
      <c r="H27" s="26" t="s">
        <v>1208</v>
      </c>
      <c r="I27" s="26" t="s">
        <v>1208</v>
      </c>
      <c r="J27" s="26" t="s">
        <v>1208</v>
      </c>
      <c r="K27" s="25" t="s">
        <v>26</v>
      </c>
      <c r="L27" s="25" t="s">
        <v>2341</v>
      </c>
      <c r="M27" s="25" t="s">
        <v>1207</v>
      </c>
      <c r="N27" s="25" t="s">
        <v>2343</v>
      </c>
      <c r="O27" s="25" t="s">
        <v>2081</v>
      </c>
      <c r="P27" s="25" t="s">
        <v>2086</v>
      </c>
    </row>
    <row r="28" spans="1:16" x14ac:dyDescent="0.2">
      <c r="A28" s="25">
        <v>9684033880</v>
      </c>
      <c r="B28" s="25" t="s">
        <v>2611</v>
      </c>
      <c r="C28" s="26" t="s">
        <v>2083</v>
      </c>
      <c r="D28" s="26">
        <v>1</v>
      </c>
      <c r="E28" s="26" t="s">
        <v>1173</v>
      </c>
      <c r="F28" s="26" t="s">
        <v>1264</v>
      </c>
      <c r="G28" s="25" t="s">
        <v>1263</v>
      </c>
      <c r="H28" s="26" t="s">
        <v>2290</v>
      </c>
      <c r="I28" s="26">
        <v>100</v>
      </c>
      <c r="J28" s="26">
        <v>10</v>
      </c>
      <c r="K28" s="25" t="s">
        <v>193</v>
      </c>
      <c r="L28" s="25" t="s">
        <v>2345</v>
      </c>
      <c r="M28" s="25" t="s">
        <v>1207</v>
      </c>
      <c r="N28" s="25" t="s">
        <v>2346</v>
      </c>
      <c r="O28" s="25" t="s">
        <v>2081</v>
      </c>
      <c r="P28" s="25" t="s">
        <v>2082</v>
      </c>
    </row>
    <row r="29" spans="1:16" x14ac:dyDescent="0.2">
      <c r="A29" s="25">
        <v>9628107680</v>
      </c>
      <c r="B29" s="25" t="s">
        <v>2595</v>
      </c>
      <c r="C29" s="26" t="s">
        <v>2083</v>
      </c>
      <c r="D29" s="26">
        <v>1</v>
      </c>
      <c r="E29" s="26" t="s">
        <v>608</v>
      </c>
      <c r="F29" s="26" t="s">
        <v>1268</v>
      </c>
      <c r="G29" s="25" t="s">
        <v>2347</v>
      </c>
      <c r="H29" s="26" t="s">
        <v>2298</v>
      </c>
      <c r="I29" s="26">
        <v>30</v>
      </c>
      <c r="J29" s="26">
        <v>15</v>
      </c>
      <c r="K29" s="25" t="s">
        <v>238</v>
      </c>
      <c r="L29" s="25" t="s">
        <v>2352</v>
      </c>
      <c r="M29" s="25" t="s">
        <v>2059</v>
      </c>
      <c r="N29" s="25" t="s">
        <v>2353</v>
      </c>
      <c r="O29" s="25" t="s">
        <v>2081</v>
      </c>
      <c r="P29" s="25" t="s">
        <v>2082</v>
      </c>
    </row>
    <row r="30" spans="1:16" x14ac:dyDescent="0.2">
      <c r="A30" s="25">
        <v>9674550680</v>
      </c>
      <c r="B30" s="25" t="s">
        <v>2604</v>
      </c>
      <c r="C30" s="26" t="s">
        <v>2083</v>
      </c>
      <c r="D30" s="26">
        <v>2</v>
      </c>
      <c r="E30" s="26" t="s">
        <v>608</v>
      </c>
      <c r="F30" s="26" t="s">
        <v>1268</v>
      </c>
      <c r="G30" s="25" t="s">
        <v>2347</v>
      </c>
      <c r="H30" s="26" t="s">
        <v>2290</v>
      </c>
      <c r="I30" s="26">
        <v>32</v>
      </c>
      <c r="J30" s="26">
        <v>15</v>
      </c>
      <c r="K30" s="25" t="s">
        <v>238</v>
      </c>
      <c r="L30" s="25" t="s">
        <v>2352</v>
      </c>
      <c r="M30" s="25" t="s">
        <v>2059</v>
      </c>
      <c r="N30" s="25" t="s">
        <v>2354</v>
      </c>
      <c r="O30" s="25" t="s">
        <v>2081</v>
      </c>
      <c r="P30" s="25" t="s">
        <v>2082</v>
      </c>
    </row>
    <row r="31" spans="1:16" x14ac:dyDescent="0.2">
      <c r="A31" s="25">
        <v>9674550680</v>
      </c>
      <c r="B31" s="25" t="s">
        <v>2604</v>
      </c>
      <c r="C31" s="26" t="s">
        <v>2083</v>
      </c>
      <c r="D31" s="26">
        <v>4</v>
      </c>
      <c r="E31" s="26" t="s">
        <v>1169</v>
      </c>
      <c r="F31" s="26" t="s">
        <v>1211</v>
      </c>
      <c r="G31" s="25" t="s">
        <v>1216</v>
      </c>
      <c r="H31" s="26" t="s">
        <v>2356</v>
      </c>
      <c r="I31" s="26">
        <v>20</v>
      </c>
      <c r="J31" s="26">
        <v>15</v>
      </c>
      <c r="K31" s="25" t="s">
        <v>360</v>
      </c>
      <c r="L31" s="25" t="s">
        <v>2357</v>
      </c>
      <c r="M31" s="25" t="s">
        <v>1207</v>
      </c>
      <c r="N31" s="25" t="s">
        <v>2358</v>
      </c>
      <c r="O31" s="25" t="s">
        <v>2081</v>
      </c>
      <c r="P31" s="25" t="s">
        <v>2082</v>
      </c>
    </row>
    <row r="32" spans="1:16" x14ac:dyDescent="0.2">
      <c r="A32" s="25">
        <v>9674550080</v>
      </c>
      <c r="B32" s="25" t="s">
        <v>2603</v>
      </c>
      <c r="C32" s="26" t="s">
        <v>2083</v>
      </c>
      <c r="D32" s="26">
        <v>1</v>
      </c>
      <c r="E32" s="26" t="s">
        <v>1169</v>
      </c>
      <c r="F32" s="26" t="s">
        <v>1211</v>
      </c>
      <c r="G32" s="25" t="s">
        <v>1216</v>
      </c>
      <c r="H32" s="26" t="s">
        <v>2084</v>
      </c>
      <c r="I32" s="26">
        <v>20</v>
      </c>
      <c r="J32" s="26">
        <v>15</v>
      </c>
      <c r="K32" s="25" t="s">
        <v>360</v>
      </c>
      <c r="L32" s="25" t="s">
        <v>2357</v>
      </c>
      <c r="M32" s="25" t="s">
        <v>1207</v>
      </c>
      <c r="N32" s="25" t="s">
        <v>2359</v>
      </c>
      <c r="O32" s="25" t="s">
        <v>2081</v>
      </c>
      <c r="P32" s="25" t="s">
        <v>2082</v>
      </c>
    </row>
    <row r="33" spans="1:16" x14ac:dyDescent="0.2">
      <c r="A33" s="25">
        <v>7903042052</v>
      </c>
      <c r="B33" s="25" t="s">
        <v>2582</v>
      </c>
      <c r="C33" s="26" t="s">
        <v>2085</v>
      </c>
      <c r="D33" s="26">
        <v>4</v>
      </c>
      <c r="E33" s="26" t="s">
        <v>1169</v>
      </c>
      <c r="F33" s="26" t="s">
        <v>1211</v>
      </c>
      <c r="G33" s="25" t="s">
        <v>1216</v>
      </c>
      <c r="H33" s="26" t="s">
        <v>1208</v>
      </c>
      <c r="I33" s="26" t="s">
        <v>1208</v>
      </c>
      <c r="J33" s="26" t="s">
        <v>1208</v>
      </c>
      <c r="K33" s="25" t="s">
        <v>360</v>
      </c>
      <c r="L33" s="25" t="s">
        <v>2357</v>
      </c>
      <c r="M33" s="25" t="s">
        <v>1207</v>
      </c>
      <c r="N33" s="25" t="s">
        <v>2358</v>
      </c>
      <c r="O33" s="25" t="s">
        <v>2081</v>
      </c>
      <c r="P33" s="25" t="s">
        <v>2086</v>
      </c>
    </row>
    <row r="34" spans="1:16" x14ac:dyDescent="0.2">
      <c r="A34" s="25">
        <v>7903233029</v>
      </c>
      <c r="B34" s="25" t="s">
        <v>2585</v>
      </c>
      <c r="C34" s="26" t="s">
        <v>2083</v>
      </c>
      <c r="D34" s="26">
        <v>1</v>
      </c>
      <c r="E34" s="26" t="s">
        <v>1171</v>
      </c>
      <c r="F34" s="26" t="s">
        <v>1358</v>
      </c>
      <c r="G34" s="25" t="s">
        <v>1837</v>
      </c>
      <c r="H34" s="26" t="s">
        <v>2298</v>
      </c>
      <c r="I34" s="26">
        <v>8</v>
      </c>
      <c r="J34" s="26">
        <v>15</v>
      </c>
      <c r="K34" s="25" t="s">
        <v>117</v>
      </c>
      <c r="L34" s="25" t="s">
        <v>2361</v>
      </c>
      <c r="M34" s="25" t="s">
        <v>2059</v>
      </c>
      <c r="N34" s="25" t="s">
        <v>2362</v>
      </c>
      <c r="O34" s="25" t="s">
        <v>2081</v>
      </c>
      <c r="P34" s="25" t="s">
        <v>2082</v>
      </c>
    </row>
    <row r="35" spans="1:16" x14ac:dyDescent="0.2">
      <c r="A35" s="25">
        <v>7903011385</v>
      </c>
      <c r="B35" s="25" t="s">
        <v>2578</v>
      </c>
      <c r="C35" s="26" t="s">
        <v>2085</v>
      </c>
      <c r="D35" s="26">
        <v>1</v>
      </c>
      <c r="E35" s="26" t="s">
        <v>1171</v>
      </c>
      <c r="F35" s="26" t="s">
        <v>1358</v>
      </c>
      <c r="G35" s="25" t="s">
        <v>1837</v>
      </c>
      <c r="H35" s="26" t="s">
        <v>1208</v>
      </c>
      <c r="I35" s="26" t="s">
        <v>1208</v>
      </c>
      <c r="J35" s="26" t="s">
        <v>1208</v>
      </c>
      <c r="K35" s="25" t="s">
        <v>117</v>
      </c>
      <c r="L35" s="25" t="s">
        <v>2361</v>
      </c>
      <c r="M35" s="25" t="s">
        <v>2059</v>
      </c>
      <c r="N35" s="25" t="s">
        <v>2362</v>
      </c>
      <c r="O35" s="25" t="s">
        <v>2081</v>
      </c>
      <c r="P35" s="25" t="s">
        <v>2082</v>
      </c>
    </row>
    <row r="36" spans="1:16" x14ac:dyDescent="0.2">
      <c r="A36" s="25">
        <v>7903233042</v>
      </c>
      <c r="B36" s="25" t="s">
        <v>2587</v>
      </c>
      <c r="C36" s="26" t="s">
        <v>2083</v>
      </c>
      <c r="D36" s="26" t="s">
        <v>2367</v>
      </c>
      <c r="E36" s="26" t="s">
        <v>593</v>
      </c>
      <c r="F36" s="26" t="s">
        <v>1213</v>
      </c>
      <c r="G36" s="25" t="s">
        <v>1212</v>
      </c>
      <c r="H36" s="26" t="s">
        <v>2084</v>
      </c>
      <c r="I36" s="26">
        <v>4</v>
      </c>
      <c r="J36" s="26">
        <v>15</v>
      </c>
      <c r="K36" s="25" t="s">
        <v>201</v>
      </c>
      <c r="L36" s="25" t="s">
        <v>2368</v>
      </c>
      <c r="M36" s="25" t="s">
        <v>2059</v>
      </c>
      <c r="N36" s="25" t="s">
        <v>2369</v>
      </c>
      <c r="O36" s="25" t="s">
        <v>2081</v>
      </c>
      <c r="P36" s="25" t="s">
        <v>2082</v>
      </c>
    </row>
    <row r="37" spans="1:16" x14ac:dyDescent="0.2">
      <c r="A37" s="25">
        <v>7903233043</v>
      </c>
      <c r="B37" s="25" t="s">
        <v>2588</v>
      </c>
      <c r="C37" s="26" t="s">
        <v>2083</v>
      </c>
      <c r="D37" s="26">
        <v>1</v>
      </c>
      <c r="E37" s="26" t="s">
        <v>608</v>
      </c>
      <c r="F37" s="26" t="s">
        <v>1413</v>
      </c>
      <c r="G37" s="25" t="s">
        <v>1974</v>
      </c>
      <c r="H37" s="26" t="s">
        <v>2334</v>
      </c>
      <c r="I37" s="26">
        <v>12</v>
      </c>
      <c r="J37" s="26">
        <v>15</v>
      </c>
      <c r="K37" s="25" t="s">
        <v>553</v>
      </c>
      <c r="L37" s="25" t="s">
        <v>2370</v>
      </c>
      <c r="M37" s="25" t="s">
        <v>2059</v>
      </c>
      <c r="N37" s="25" t="s">
        <v>2371</v>
      </c>
      <c r="O37" s="25" t="s">
        <v>2081</v>
      </c>
      <c r="P37" s="25" t="s">
        <v>2082</v>
      </c>
    </row>
    <row r="38" spans="1:16" x14ac:dyDescent="0.2">
      <c r="A38" s="25">
        <v>7903233039</v>
      </c>
      <c r="B38" s="25" t="s">
        <v>2586</v>
      </c>
      <c r="C38" s="26" t="s">
        <v>2083</v>
      </c>
      <c r="D38" s="26" t="s">
        <v>2372</v>
      </c>
      <c r="E38" s="26" t="s">
        <v>608</v>
      </c>
      <c r="F38" s="26" t="s">
        <v>1413</v>
      </c>
      <c r="G38" s="25" t="s">
        <v>2109</v>
      </c>
      <c r="H38" s="26" t="s">
        <v>2290</v>
      </c>
      <c r="I38" s="26">
        <v>25</v>
      </c>
      <c r="J38" s="26">
        <v>15</v>
      </c>
      <c r="K38" s="25" t="s">
        <v>2092</v>
      </c>
      <c r="L38" s="25" t="s">
        <v>2373</v>
      </c>
      <c r="M38" s="25" t="s">
        <v>2059</v>
      </c>
      <c r="N38" s="25" t="s">
        <v>2374</v>
      </c>
      <c r="O38" s="25" t="s">
        <v>2081</v>
      </c>
      <c r="P38" s="25" t="s">
        <v>2082</v>
      </c>
    </row>
    <row r="39" spans="1:16" x14ac:dyDescent="0.2">
      <c r="A39" s="25">
        <v>9678268380</v>
      </c>
      <c r="B39" s="25" t="s">
        <v>2608</v>
      </c>
      <c r="C39" s="26" t="s">
        <v>2083</v>
      </c>
      <c r="D39" s="26">
        <v>2</v>
      </c>
      <c r="E39" s="26" t="s">
        <v>608</v>
      </c>
      <c r="F39" s="26" t="s">
        <v>1411</v>
      </c>
      <c r="G39" s="25" t="s">
        <v>1804</v>
      </c>
      <c r="H39" s="26" t="s">
        <v>2084</v>
      </c>
      <c r="I39" s="26">
        <v>20</v>
      </c>
      <c r="J39" s="26">
        <v>15</v>
      </c>
      <c r="K39" s="25" t="s">
        <v>218</v>
      </c>
      <c r="L39" s="25" t="s">
        <v>2379</v>
      </c>
      <c r="M39" s="25" t="s">
        <v>2059</v>
      </c>
      <c r="N39" s="25" t="s">
        <v>2380</v>
      </c>
      <c r="O39" s="25" t="s">
        <v>2081</v>
      </c>
      <c r="P39" s="25" t="s">
        <v>2082</v>
      </c>
    </row>
    <row r="40" spans="1:16" x14ac:dyDescent="0.2">
      <c r="A40" s="25">
        <v>9605782980</v>
      </c>
      <c r="B40" s="25" t="s">
        <v>2592</v>
      </c>
      <c r="C40" s="26" t="s">
        <v>2083</v>
      </c>
      <c r="D40" s="26">
        <v>2</v>
      </c>
      <c r="E40" s="26" t="s">
        <v>608</v>
      </c>
      <c r="F40" s="26" t="s">
        <v>1411</v>
      </c>
      <c r="G40" s="25" t="s">
        <v>1804</v>
      </c>
      <c r="H40" s="26" t="s">
        <v>2084</v>
      </c>
      <c r="I40" s="26">
        <v>20</v>
      </c>
      <c r="J40" s="26">
        <v>15</v>
      </c>
      <c r="K40" s="25" t="s">
        <v>218</v>
      </c>
      <c r="L40" s="25" t="s">
        <v>2379</v>
      </c>
      <c r="M40" s="25" t="s">
        <v>2059</v>
      </c>
      <c r="N40" s="25" t="s">
        <v>2381</v>
      </c>
      <c r="O40" s="25" t="s">
        <v>2081</v>
      </c>
      <c r="P40" s="25" t="s">
        <v>2082</v>
      </c>
    </row>
    <row r="41" spans="1:16" x14ac:dyDescent="0.2">
      <c r="A41" s="25">
        <v>7903042052</v>
      </c>
      <c r="B41" s="25" t="s">
        <v>2582</v>
      </c>
      <c r="C41" s="26" t="s">
        <v>2085</v>
      </c>
      <c r="D41" s="26">
        <v>2</v>
      </c>
      <c r="E41" s="26" t="s">
        <v>608</v>
      </c>
      <c r="F41" s="26" t="s">
        <v>1411</v>
      </c>
      <c r="G41" s="25" t="s">
        <v>1804</v>
      </c>
      <c r="H41" s="26" t="s">
        <v>1208</v>
      </c>
      <c r="I41" s="26" t="s">
        <v>1208</v>
      </c>
      <c r="J41" s="26" t="s">
        <v>1208</v>
      </c>
      <c r="K41" s="25" t="s">
        <v>218</v>
      </c>
      <c r="L41" s="25" t="s">
        <v>2379</v>
      </c>
      <c r="N41" s="25" t="s">
        <v>2380</v>
      </c>
      <c r="O41" s="25" t="s">
        <v>2081</v>
      </c>
      <c r="P41" s="25" t="s">
        <v>2082</v>
      </c>
    </row>
    <row r="42" spans="1:16" x14ac:dyDescent="0.2">
      <c r="A42" s="25">
        <v>7903042052</v>
      </c>
      <c r="B42" s="25" t="s">
        <v>2582</v>
      </c>
      <c r="C42" s="26" t="s">
        <v>2085</v>
      </c>
      <c r="D42" s="26">
        <v>2</v>
      </c>
      <c r="E42" s="26" t="s">
        <v>608</v>
      </c>
      <c r="F42" s="26" t="s">
        <v>1411</v>
      </c>
      <c r="G42" s="25" t="s">
        <v>1804</v>
      </c>
      <c r="H42" s="26" t="s">
        <v>1208</v>
      </c>
      <c r="I42" s="26" t="s">
        <v>1208</v>
      </c>
      <c r="J42" s="26" t="s">
        <v>1208</v>
      </c>
      <c r="K42" s="25" t="s">
        <v>218</v>
      </c>
      <c r="L42" s="25" t="s">
        <v>2379</v>
      </c>
      <c r="N42" s="25" t="s">
        <v>2381</v>
      </c>
      <c r="O42" s="25" t="s">
        <v>2081</v>
      </c>
      <c r="P42" s="25" t="s">
        <v>2082</v>
      </c>
    </row>
    <row r="43" spans="1:16" x14ac:dyDescent="0.2">
      <c r="A43" s="25">
        <v>9684717580</v>
      </c>
      <c r="B43" s="25" t="s">
        <v>2613</v>
      </c>
      <c r="C43" s="26" t="s">
        <v>2083</v>
      </c>
      <c r="D43" s="26">
        <v>1</v>
      </c>
      <c r="E43" s="26" t="s">
        <v>1171</v>
      </c>
      <c r="F43" s="26" t="s">
        <v>1304</v>
      </c>
      <c r="G43" s="25" t="s">
        <v>2382</v>
      </c>
      <c r="H43" s="26" t="s">
        <v>2334</v>
      </c>
      <c r="I43" s="26">
        <v>10</v>
      </c>
      <c r="J43" s="26">
        <v>15</v>
      </c>
      <c r="K43" s="25" t="s">
        <v>7</v>
      </c>
      <c r="L43" s="25" t="s">
        <v>2387</v>
      </c>
      <c r="M43" s="25" t="s">
        <v>2059</v>
      </c>
      <c r="N43" s="25" t="s">
        <v>2388</v>
      </c>
      <c r="O43" s="25" t="s">
        <v>2081</v>
      </c>
      <c r="P43" s="25" t="s">
        <v>2082</v>
      </c>
    </row>
    <row r="44" spans="1:16" x14ac:dyDescent="0.2">
      <c r="A44" s="25">
        <v>9686685480</v>
      </c>
      <c r="B44" s="25" t="s">
        <v>2616</v>
      </c>
      <c r="C44" s="26" t="s">
        <v>2083</v>
      </c>
      <c r="D44" s="26">
        <v>1</v>
      </c>
      <c r="E44" s="26" t="s">
        <v>1171</v>
      </c>
      <c r="F44" s="26" t="s">
        <v>1304</v>
      </c>
      <c r="G44" s="25" t="s">
        <v>2382</v>
      </c>
      <c r="H44" s="26" t="s">
        <v>2084</v>
      </c>
      <c r="I44" s="26">
        <v>8</v>
      </c>
      <c r="J44" s="26">
        <v>15</v>
      </c>
      <c r="K44" s="25" t="s">
        <v>7</v>
      </c>
      <c r="L44" s="25" t="s">
        <v>2387</v>
      </c>
      <c r="M44" s="25" t="s">
        <v>2059</v>
      </c>
      <c r="N44" s="25" t="s">
        <v>2389</v>
      </c>
      <c r="O44" s="25" t="s">
        <v>2081</v>
      </c>
      <c r="P44" s="25" t="s">
        <v>2082</v>
      </c>
    </row>
    <row r="45" spans="1:16" x14ac:dyDescent="0.2">
      <c r="A45" s="25">
        <v>7903042062</v>
      </c>
      <c r="B45" s="25" t="s">
        <v>2583</v>
      </c>
      <c r="C45" s="26" t="s">
        <v>2085</v>
      </c>
      <c r="D45" s="26">
        <v>1</v>
      </c>
      <c r="E45" s="26" t="s">
        <v>1171</v>
      </c>
      <c r="F45" s="26" t="s">
        <v>1304</v>
      </c>
      <c r="G45" s="25" t="s">
        <v>2382</v>
      </c>
      <c r="H45" s="26" t="s">
        <v>1208</v>
      </c>
      <c r="I45" s="26" t="s">
        <v>1208</v>
      </c>
      <c r="J45" s="26" t="s">
        <v>1208</v>
      </c>
      <c r="K45" s="25" t="s">
        <v>7</v>
      </c>
      <c r="L45" s="25" t="s">
        <v>2387</v>
      </c>
      <c r="M45" s="25" t="s">
        <v>2059</v>
      </c>
      <c r="N45" s="25" t="s">
        <v>2388</v>
      </c>
      <c r="O45" s="25" t="s">
        <v>2081</v>
      </c>
      <c r="P45" s="25" t="s">
        <v>2086</v>
      </c>
    </row>
    <row r="46" spans="1:16" x14ac:dyDescent="0.2">
      <c r="A46" s="25">
        <v>7903043003</v>
      </c>
      <c r="B46" s="25" t="s">
        <v>2584</v>
      </c>
      <c r="C46" s="26" t="s">
        <v>2083</v>
      </c>
      <c r="D46" s="26">
        <v>1</v>
      </c>
      <c r="E46" s="26" t="s">
        <v>1171</v>
      </c>
      <c r="F46" s="26" t="s">
        <v>1304</v>
      </c>
      <c r="G46" s="25" t="s">
        <v>2382</v>
      </c>
      <c r="H46" s="26" t="s">
        <v>1208</v>
      </c>
      <c r="I46" s="26" t="s">
        <v>1208</v>
      </c>
      <c r="J46" s="26" t="s">
        <v>1208</v>
      </c>
      <c r="K46" s="25" t="s">
        <v>7</v>
      </c>
      <c r="L46" s="25" t="s">
        <v>2387</v>
      </c>
      <c r="M46" s="25" t="s">
        <v>2059</v>
      </c>
      <c r="N46" s="25" t="s">
        <v>2389</v>
      </c>
      <c r="O46" s="25" t="s">
        <v>2081</v>
      </c>
      <c r="P46" s="25" t="s">
        <v>2086</v>
      </c>
    </row>
    <row r="47" spans="1:16" x14ac:dyDescent="0.2">
      <c r="A47" s="25">
        <v>9671588080</v>
      </c>
      <c r="B47" s="25" t="s">
        <v>2601</v>
      </c>
      <c r="C47" s="26" t="s">
        <v>2083</v>
      </c>
      <c r="D47" s="26">
        <v>1</v>
      </c>
      <c r="E47" s="26" t="s">
        <v>593</v>
      </c>
      <c r="F47" s="26" t="s">
        <v>1336</v>
      </c>
      <c r="G47" s="25" t="s">
        <v>1335</v>
      </c>
      <c r="H47" s="26" t="s">
        <v>2084</v>
      </c>
      <c r="I47" s="26">
        <v>4</v>
      </c>
      <c r="J47" s="26">
        <v>15</v>
      </c>
      <c r="K47" s="25" t="s">
        <v>243</v>
      </c>
      <c r="L47" s="25" t="s">
        <v>2391</v>
      </c>
      <c r="M47" s="25" t="s">
        <v>2059</v>
      </c>
      <c r="N47" s="25" t="s">
        <v>2392</v>
      </c>
      <c r="O47" s="25" t="s">
        <v>2081</v>
      </c>
      <c r="P47" s="25" t="s">
        <v>2082</v>
      </c>
    </row>
    <row r="48" spans="1:16" x14ac:dyDescent="0.2">
      <c r="A48" s="25">
        <v>9801970280</v>
      </c>
      <c r="B48" s="25" t="s">
        <v>2619</v>
      </c>
      <c r="C48" s="26" t="s">
        <v>2083</v>
      </c>
      <c r="D48" s="26">
        <v>2</v>
      </c>
      <c r="E48" s="26" t="s">
        <v>1180</v>
      </c>
      <c r="F48" s="26" t="s">
        <v>1328</v>
      </c>
      <c r="G48" s="25" t="s">
        <v>2394</v>
      </c>
      <c r="H48" s="26" t="s">
        <v>2298</v>
      </c>
      <c r="I48" s="26">
        <v>20</v>
      </c>
      <c r="J48" s="26">
        <v>15</v>
      </c>
      <c r="K48" s="25" t="s">
        <v>149</v>
      </c>
      <c r="L48" s="25" t="s">
        <v>2395</v>
      </c>
      <c r="M48" s="25" t="s">
        <v>1207</v>
      </c>
      <c r="N48" s="25" t="s">
        <v>2396</v>
      </c>
      <c r="O48" s="25" t="s">
        <v>2081</v>
      </c>
      <c r="P48" s="25" t="s">
        <v>2082</v>
      </c>
    </row>
    <row r="49" spans="1:16" x14ac:dyDescent="0.2">
      <c r="A49" s="25">
        <v>9802186380</v>
      </c>
      <c r="B49" s="25" t="s">
        <v>0</v>
      </c>
      <c r="C49" s="26" t="s">
        <v>2083</v>
      </c>
      <c r="D49" s="26">
        <v>2</v>
      </c>
      <c r="E49" s="26" t="s">
        <v>1180</v>
      </c>
      <c r="F49" s="26" t="s">
        <v>1328</v>
      </c>
      <c r="G49" s="25" t="s">
        <v>2394</v>
      </c>
      <c r="H49" s="26" t="s">
        <v>2298</v>
      </c>
      <c r="I49" s="26">
        <v>20</v>
      </c>
      <c r="J49" s="26">
        <v>15</v>
      </c>
      <c r="K49" s="25" t="s">
        <v>149</v>
      </c>
      <c r="L49" s="25" t="s">
        <v>2395</v>
      </c>
      <c r="M49" s="25" t="s">
        <v>1207</v>
      </c>
      <c r="N49" s="25" t="s">
        <v>2396</v>
      </c>
      <c r="O49" s="25" t="s">
        <v>2081</v>
      </c>
      <c r="P49" s="25" t="s">
        <v>2082</v>
      </c>
    </row>
    <row r="50" spans="1:16" x14ac:dyDescent="0.2">
      <c r="A50" s="25">
        <v>9800220780</v>
      </c>
      <c r="B50" s="25" t="s">
        <v>2617</v>
      </c>
      <c r="C50" s="26" t="s">
        <v>2083</v>
      </c>
      <c r="D50" s="26">
        <v>2</v>
      </c>
      <c r="E50" s="26" t="s">
        <v>1178</v>
      </c>
      <c r="F50" s="26" t="s">
        <v>1775</v>
      </c>
      <c r="G50" s="25" t="s">
        <v>2400</v>
      </c>
      <c r="H50" s="26" t="s">
        <v>2290</v>
      </c>
      <c r="I50" s="26">
        <v>100</v>
      </c>
      <c r="J50" s="26">
        <v>10</v>
      </c>
      <c r="K50" s="25" t="s">
        <v>480</v>
      </c>
      <c r="L50" s="25" t="s">
        <v>2403</v>
      </c>
      <c r="M50" s="25" t="s">
        <v>2059</v>
      </c>
      <c r="N50" s="25" t="s">
        <v>2404</v>
      </c>
      <c r="O50" s="25" t="s">
        <v>2081</v>
      </c>
      <c r="P50" s="25" t="s">
        <v>2082</v>
      </c>
    </row>
    <row r="51" spans="1:16" x14ac:dyDescent="0.2">
      <c r="A51" s="25">
        <v>9804740880</v>
      </c>
      <c r="B51" s="25" t="s">
        <v>2621</v>
      </c>
      <c r="C51" s="26" t="s">
        <v>2083</v>
      </c>
      <c r="D51" s="26">
        <v>2</v>
      </c>
      <c r="E51" s="26" t="s">
        <v>1178</v>
      </c>
      <c r="F51" s="26" t="s">
        <v>1775</v>
      </c>
      <c r="G51" s="25" t="s">
        <v>2400</v>
      </c>
      <c r="H51" s="26" t="s">
        <v>2290</v>
      </c>
      <c r="I51" s="26">
        <v>100</v>
      </c>
      <c r="J51" s="26">
        <v>10</v>
      </c>
      <c r="K51" s="25" t="s">
        <v>480</v>
      </c>
      <c r="L51" s="25" t="s">
        <v>2403</v>
      </c>
      <c r="M51" s="25" t="s">
        <v>2059</v>
      </c>
      <c r="N51" s="25" t="s">
        <v>2405</v>
      </c>
      <c r="O51" s="25" t="s">
        <v>2081</v>
      </c>
      <c r="P51" s="25" t="s">
        <v>2082</v>
      </c>
    </row>
    <row r="52" spans="1:16" x14ac:dyDescent="0.2">
      <c r="A52" s="25">
        <v>9853111280</v>
      </c>
      <c r="B52" s="25" t="s">
        <v>2641</v>
      </c>
      <c r="C52" s="26" t="s">
        <v>2083</v>
      </c>
      <c r="D52" s="26">
        <v>2</v>
      </c>
      <c r="E52" s="26" t="s">
        <v>1172</v>
      </c>
      <c r="F52" s="26" t="s">
        <v>1486</v>
      </c>
      <c r="G52" s="25" t="s">
        <v>2406</v>
      </c>
      <c r="H52" s="26" t="s">
        <v>2290</v>
      </c>
      <c r="I52" s="26">
        <v>90</v>
      </c>
      <c r="J52" s="26">
        <v>10</v>
      </c>
      <c r="K52" s="25" t="s">
        <v>571</v>
      </c>
      <c r="L52" s="25" t="s">
        <v>2410</v>
      </c>
      <c r="M52" s="25" t="s">
        <v>2059</v>
      </c>
      <c r="N52" s="25" t="s">
        <v>2411</v>
      </c>
      <c r="O52" s="25" t="s">
        <v>2081</v>
      </c>
      <c r="P52" s="25" t="s">
        <v>2082</v>
      </c>
    </row>
    <row r="53" spans="1:16" x14ac:dyDescent="0.2">
      <c r="A53" s="25">
        <v>9833142280</v>
      </c>
      <c r="B53" s="25" t="s">
        <v>2633</v>
      </c>
      <c r="C53" s="26" t="s">
        <v>2083</v>
      </c>
      <c r="D53" s="26">
        <v>2</v>
      </c>
      <c r="E53" s="26" t="s">
        <v>1173</v>
      </c>
      <c r="F53" s="26" t="s">
        <v>1759</v>
      </c>
      <c r="G53" s="25" t="s">
        <v>2412</v>
      </c>
      <c r="H53" s="26" t="s">
        <v>2290</v>
      </c>
      <c r="I53" s="26">
        <v>80</v>
      </c>
      <c r="J53" s="26">
        <v>10</v>
      </c>
      <c r="K53" s="25" t="s">
        <v>32</v>
      </c>
      <c r="L53" s="25" t="s">
        <v>2416</v>
      </c>
      <c r="M53" s="25" t="s">
        <v>2059</v>
      </c>
      <c r="N53" s="25" t="s">
        <v>2417</v>
      </c>
      <c r="O53" s="25" t="s">
        <v>2081</v>
      </c>
      <c r="P53" s="25" t="s">
        <v>2418</v>
      </c>
    </row>
    <row r="54" spans="1:16" x14ac:dyDescent="0.2">
      <c r="A54" s="25" t="s">
        <v>2419</v>
      </c>
      <c r="C54" s="26" t="s">
        <v>2083</v>
      </c>
      <c r="D54" s="26">
        <v>2</v>
      </c>
      <c r="E54" s="26" t="s">
        <v>1173</v>
      </c>
      <c r="F54" s="26" t="s">
        <v>1759</v>
      </c>
      <c r="G54" s="25" t="s">
        <v>2412</v>
      </c>
      <c r="H54" s="26" t="s">
        <v>2290</v>
      </c>
      <c r="I54" s="26">
        <v>60</v>
      </c>
      <c r="J54" s="26">
        <v>10</v>
      </c>
      <c r="K54" s="25" t="s">
        <v>32</v>
      </c>
      <c r="L54" s="25" t="s">
        <v>2416</v>
      </c>
      <c r="M54" s="25" t="s">
        <v>2059</v>
      </c>
      <c r="N54" s="25" t="s">
        <v>1208</v>
      </c>
      <c r="O54" s="25" t="s">
        <v>2081</v>
      </c>
      <c r="P54" s="25" t="s">
        <v>2418</v>
      </c>
    </row>
    <row r="55" spans="1:16" x14ac:dyDescent="0.2">
      <c r="A55" s="25" t="s">
        <v>2420</v>
      </c>
      <c r="C55" s="26" t="s">
        <v>2083</v>
      </c>
      <c r="D55" s="26">
        <v>2</v>
      </c>
      <c r="E55" s="26" t="s">
        <v>1173</v>
      </c>
      <c r="F55" s="26" t="s">
        <v>1759</v>
      </c>
      <c r="G55" s="25" t="s">
        <v>2412</v>
      </c>
      <c r="H55" s="26" t="s">
        <v>2421</v>
      </c>
      <c r="I55" s="26">
        <v>120</v>
      </c>
      <c r="J55" s="26">
        <v>10</v>
      </c>
      <c r="K55" s="25" t="s">
        <v>32</v>
      </c>
      <c r="L55" s="25" t="s">
        <v>2416</v>
      </c>
      <c r="M55" s="25" t="s">
        <v>2059</v>
      </c>
      <c r="N55" s="25" t="s">
        <v>1208</v>
      </c>
      <c r="O55" s="25" t="s">
        <v>2081</v>
      </c>
      <c r="P55" s="25" t="s">
        <v>2422</v>
      </c>
    </row>
    <row r="56" spans="1:16" x14ac:dyDescent="0.2">
      <c r="A56" s="25">
        <v>9861538780</v>
      </c>
      <c r="B56" s="25" t="s">
        <v>2643</v>
      </c>
      <c r="C56" s="26" t="s">
        <v>2083</v>
      </c>
      <c r="D56" s="26">
        <v>2</v>
      </c>
      <c r="E56" s="26" t="s">
        <v>1173</v>
      </c>
      <c r="F56" s="26" t="s">
        <v>1759</v>
      </c>
      <c r="G56" s="25" t="s">
        <v>2412</v>
      </c>
      <c r="H56" s="26" t="s">
        <v>2290</v>
      </c>
      <c r="I56" s="26">
        <v>60</v>
      </c>
      <c r="J56" s="26">
        <v>10</v>
      </c>
      <c r="K56" s="25" t="s">
        <v>32</v>
      </c>
      <c r="L56" s="25" t="s">
        <v>2416</v>
      </c>
      <c r="M56" s="25" t="s">
        <v>2059</v>
      </c>
      <c r="N56" s="25" t="s">
        <v>2417</v>
      </c>
      <c r="O56" s="25" t="s">
        <v>2081</v>
      </c>
      <c r="P56" s="25" t="s">
        <v>2418</v>
      </c>
    </row>
    <row r="57" spans="1:16" x14ac:dyDescent="0.2">
      <c r="A57" s="25">
        <v>9648066780</v>
      </c>
      <c r="B57" s="25" t="s">
        <v>2599</v>
      </c>
      <c r="C57" s="26" t="s">
        <v>2083</v>
      </c>
      <c r="D57" s="26">
        <v>2</v>
      </c>
      <c r="E57" s="26" t="s">
        <v>1173</v>
      </c>
      <c r="F57" s="26" t="s">
        <v>1264</v>
      </c>
      <c r="G57" s="25" t="s">
        <v>2428</v>
      </c>
      <c r="H57" s="26" t="s">
        <v>2433</v>
      </c>
      <c r="I57" s="26">
        <v>110</v>
      </c>
      <c r="J57" s="26" t="s">
        <v>2434</v>
      </c>
      <c r="K57" s="25" t="s">
        <v>195</v>
      </c>
      <c r="L57" s="25" t="s">
        <v>2435</v>
      </c>
      <c r="M57" s="25" t="s">
        <v>2059</v>
      </c>
      <c r="N57" s="25" t="s">
        <v>2436</v>
      </c>
      <c r="O57" s="25" t="s">
        <v>2081</v>
      </c>
      <c r="P57" s="25" t="s">
        <v>2082</v>
      </c>
    </row>
    <row r="58" spans="1:16" x14ac:dyDescent="0.2">
      <c r="A58" s="25">
        <v>9806295280</v>
      </c>
      <c r="B58" s="25" t="s">
        <v>2622</v>
      </c>
      <c r="C58" s="26" t="s">
        <v>2083</v>
      </c>
      <c r="D58" s="26">
        <v>2</v>
      </c>
      <c r="E58" s="26" t="s">
        <v>1173</v>
      </c>
      <c r="F58" s="26" t="s">
        <v>1264</v>
      </c>
      <c r="G58" s="25" t="s">
        <v>2428</v>
      </c>
      <c r="H58" s="26" t="s">
        <v>1208</v>
      </c>
      <c r="I58" s="26" t="s">
        <v>1208</v>
      </c>
      <c r="J58" s="26" t="s">
        <v>1208</v>
      </c>
      <c r="K58" s="25" t="s">
        <v>195</v>
      </c>
      <c r="L58" s="25" t="s">
        <v>2435</v>
      </c>
      <c r="M58" s="25" t="s">
        <v>2059</v>
      </c>
      <c r="N58" s="25" t="s">
        <v>2436</v>
      </c>
      <c r="O58" s="25" t="s">
        <v>2081</v>
      </c>
      <c r="P58" s="25" t="s">
        <v>2082</v>
      </c>
    </row>
    <row r="59" spans="1:16" x14ac:dyDescent="0.2">
      <c r="A59" s="25">
        <v>9826549380</v>
      </c>
      <c r="B59" s="25" t="s">
        <v>2631</v>
      </c>
      <c r="C59" s="26" t="s">
        <v>2083</v>
      </c>
      <c r="D59" s="26">
        <v>2</v>
      </c>
      <c r="E59" s="26" t="s">
        <v>1173</v>
      </c>
      <c r="F59" s="26" t="s">
        <v>1264</v>
      </c>
      <c r="G59" s="25" t="s">
        <v>2428</v>
      </c>
      <c r="H59" s="26" t="s">
        <v>2433</v>
      </c>
      <c r="I59" s="26">
        <v>80</v>
      </c>
      <c r="J59" s="26" t="s">
        <v>2437</v>
      </c>
      <c r="K59" s="25" t="s">
        <v>195</v>
      </c>
      <c r="L59" s="25" t="s">
        <v>2435</v>
      </c>
      <c r="M59" s="25" t="s">
        <v>2059</v>
      </c>
      <c r="N59" s="25" t="s">
        <v>2438</v>
      </c>
      <c r="O59" s="25" t="s">
        <v>2081</v>
      </c>
      <c r="P59" s="25" t="s">
        <v>2082</v>
      </c>
    </row>
    <row r="60" spans="1:16" x14ac:dyDescent="0.2">
      <c r="A60" s="25">
        <v>9829394880</v>
      </c>
      <c r="B60" s="25" t="s">
        <v>2632</v>
      </c>
      <c r="C60" s="26" t="s">
        <v>2083</v>
      </c>
      <c r="D60" s="26">
        <v>2</v>
      </c>
      <c r="E60" s="26" t="s">
        <v>1173</v>
      </c>
      <c r="F60" s="26" t="s">
        <v>1264</v>
      </c>
      <c r="G60" s="25" t="s">
        <v>2428</v>
      </c>
      <c r="H60" s="26" t="s">
        <v>1208</v>
      </c>
      <c r="I60" s="26" t="s">
        <v>1208</v>
      </c>
      <c r="J60" s="26" t="s">
        <v>1208</v>
      </c>
      <c r="K60" s="25" t="s">
        <v>195</v>
      </c>
      <c r="L60" s="25" t="s">
        <v>2435</v>
      </c>
      <c r="M60" s="25" t="s">
        <v>2059</v>
      </c>
      <c r="N60" s="25" t="s">
        <v>2438</v>
      </c>
      <c r="O60" s="25" t="s">
        <v>2081</v>
      </c>
      <c r="P60" s="25" t="s">
        <v>2082</v>
      </c>
    </row>
    <row r="61" spans="1:16" x14ac:dyDescent="0.2">
      <c r="A61" s="25">
        <v>9673485380</v>
      </c>
      <c r="B61" s="25" t="s">
        <v>2602</v>
      </c>
      <c r="C61" s="26" t="s">
        <v>2083</v>
      </c>
      <c r="D61" s="26">
        <v>2</v>
      </c>
      <c r="E61" s="26" t="s">
        <v>1173</v>
      </c>
      <c r="F61" s="26" t="s">
        <v>1264</v>
      </c>
      <c r="G61" s="25" t="s">
        <v>2428</v>
      </c>
      <c r="H61" s="26" t="s">
        <v>2433</v>
      </c>
      <c r="I61" s="26">
        <v>110</v>
      </c>
      <c r="J61" s="26" t="s">
        <v>2439</v>
      </c>
      <c r="K61" s="25" t="s">
        <v>195</v>
      </c>
      <c r="L61" s="25" t="s">
        <v>2435</v>
      </c>
      <c r="M61" s="25" t="s">
        <v>2059</v>
      </c>
      <c r="N61" s="25" t="s">
        <v>1208</v>
      </c>
      <c r="O61" s="25" t="s">
        <v>2081</v>
      </c>
      <c r="P61" s="25" t="s">
        <v>2082</v>
      </c>
    </row>
    <row r="62" spans="1:16" x14ac:dyDescent="0.2">
      <c r="A62" s="25">
        <v>9800751780</v>
      </c>
      <c r="B62" s="25" t="s">
        <v>2618</v>
      </c>
      <c r="C62" s="26" t="s">
        <v>2083</v>
      </c>
      <c r="D62" s="26">
        <v>2</v>
      </c>
      <c r="E62" s="26" t="s">
        <v>1173</v>
      </c>
      <c r="F62" s="26" t="s">
        <v>1264</v>
      </c>
      <c r="G62" s="25" t="s">
        <v>2428</v>
      </c>
      <c r="H62" s="26" t="s">
        <v>1208</v>
      </c>
      <c r="I62" s="26" t="s">
        <v>1208</v>
      </c>
      <c r="J62" s="26" t="s">
        <v>1208</v>
      </c>
      <c r="K62" s="25" t="s">
        <v>195</v>
      </c>
      <c r="L62" s="25" t="s">
        <v>2435</v>
      </c>
      <c r="M62" s="25" t="s">
        <v>2059</v>
      </c>
      <c r="N62" s="25" t="s">
        <v>1208</v>
      </c>
      <c r="O62" s="25" t="s">
        <v>2081</v>
      </c>
      <c r="P62" s="25" t="s">
        <v>2082</v>
      </c>
    </row>
    <row r="63" spans="1:16" x14ac:dyDescent="0.2">
      <c r="A63" s="25">
        <v>9817224280</v>
      </c>
      <c r="B63" s="25" t="s">
        <v>2626</v>
      </c>
      <c r="C63" s="26" t="s">
        <v>2083</v>
      </c>
      <c r="D63" s="26">
        <v>2</v>
      </c>
      <c r="E63" s="26" t="s">
        <v>1173</v>
      </c>
      <c r="F63" s="26" t="s">
        <v>1759</v>
      </c>
      <c r="G63" s="25" t="s">
        <v>2440</v>
      </c>
      <c r="H63" s="26" t="s">
        <v>2298</v>
      </c>
      <c r="I63" s="26">
        <v>60</v>
      </c>
      <c r="J63" s="26">
        <v>10</v>
      </c>
      <c r="K63" s="25" t="s">
        <v>43</v>
      </c>
      <c r="L63" s="25" t="s">
        <v>2443</v>
      </c>
      <c r="M63" s="25" t="s">
        <v>2059</v>
      </c>
      <c r="N63" s="25" t="s">
        <v>2444</v>
      </c>
      <c r="O63" s="25" t="s">
        <v>2081</v>
      </c>
      <c r="P63" s="25" t="s">
        <v>2082</v>
      </c>
    </row>
    <row r="64" spans="1:16" x14ac:dyDescent="0.2">
      <c r="A64" s="25">
        <v>9822750180</v>
      </c>
      <c r="B64" s="25" t="s">
        <v>2628</v>
      </c>
      <c r="C64" s="26" t="s">
        <v>2083</v>
      </c>
      <c r="D64" s="26" t="s">
        <v>2184</v>
      </c>
      <c r="E64" s="26" t="s">
        <v>1178</v>
      </c>
      <c r="F64" s="26" t="s">
        <v>1775</v>
      </c>
      <c r="G64" s="25" t="s">
        <v>1774</v>
      </c>
      <c r="H64" s="26" t="s">
        <v>2084</v>
      </c>
      <c r="I64" s="26">
        <v>8</v>
      </c>
      <c r="J64" s="26">
        <v>15</v>
      </c>
      <c r="K64" s="25" t="s">
        <v>374</v>
      </c>
      <c r="L64" s="25" t="s">
        <v>2453</v>
      </c>
      <c r="M64" s="25" t="s">
        <v>2059</v>
      </c>
      <c r="N64" s="25" t="s">
        <v>2454</v>
      </c>
      <c r="O64" s="25" t="s">
        <v>2081</v>
      </c>
      <c r="P64" s="25" t="s">
        <v>2082</v>
      </c>
    </row>
    <row r="65" spans="1:16" x14ac:dyDescent="0.2">
      <c r="A65" s="25">
        <v>9822750180</v>
      </c>
      <c r="B65" s="25" t="s">
        <v>2628</v>
      </c>
      <c r="C65" s="26" t="s">
        <v>2083</v>
      </c>
      <c r="D65" s="26">
        <v>1</v>
      </c>
      <c r="E65" s="26" t="s">
        <v>1178</v>
      </c>
      <c r="F65" s="26" t="s">
        <v>1775</v>
      </c>
      <c r="G65" s="25" t="s">
        <v>1774</v>
      </c>
      <c r="H65" s="26" t="s">
        <v>2084</v>
      </c>
      <c r="I65" s="26">
        <v>8</v>
      </c>
      <c r="J65" s="26">
        <v>15</v>
      </c>
      <c r="K65" s="25" t="s">
        <v>374</v>
      </c>
      <c r="L65" s="25" t="s">
        <v>2453</v>
      </c>
      <c r="M65" s="25" t="s">
        <v>2059</v>
      </c>
      <c r="N65" s="25" t="s">
        <v>2455</v>
      </c>
      <c r="O65" s="25" t="s">
        <v>2081</v>
      </c>
      <c r="P65" s="25" t="s">
        <v>2082</v>
      </c>
    </row>
    <row r="66" spans="1:16" x14ac:dyDescent="0.2">
      <c r="A66" s="25">
        <v>7903602377</v>
      </c>
      <c r="B66" s="25" t="s">
        <v>2591</v>
      </c>
      <c r="C66" s="26" t="s">
        <v>2083</v>
      </c>
      <c r="D66" s="26">
        <v>2</v>
      </c>
      <c r="E66" s="26" t="s">
        <v>1172</v>
      </c>
      <c r="F66" s="26" t="s">
        <v>1238</v>
      </c>
      <c r="G66" s="25" t="s">
        <v>1453</v>
      </c>
      <c r="H66" s="26" t="s">
        <v>2298</v>
      </c>
      <c r="I66" s="26">
        <v>60</v>
      </c>
      <c r="J66" s="26">
        <v>15</v>
      </c>
      <c r="K66" s="25" t="s">
        <v>549</v>
      </c>
      <c r="L66" s="25" t="s">
        <v>2458</v>
      </c>
      <c r="M66" s="25" t="s">
        <v>2059</v>
      </c>
      <c r="N66" s="25" t="s">
        <v>2459</v>
      </c>
      <c r="O66" s="25" t="s">
        <v>2081</v>
      </c>
      <c r="P66" s="25" t="s">
        <v>2082</v>
      </c>
    </row>
    <row r="67" spans="1:16" x14ac:dyDescent="0.2">
      <c r="A67" s="25">
        <v>9801970280</v>
      </c>
      <c r="B67" s="25" t="s">
        <v>2619</v>
      </c>
      <c r="C67" s="26" t="s">
        <v>2083</v>
      </c>
      <c r="D67" s="26">
        <v>2</v>
      </c>
      <c r="E67" s="26" t="s">
        <v>1177</v>
      </c>
      <c r="F67" s="26" t="s">
        <v>1449</v>
      </c>
      <c r="G67" s="25" t="s">
        <v>1448</v>
      </c>
      <c r="H67" s="26" t="s">
        <v>2084</v>
      </c>
      <c r="I67" s="26">
        <v>20</v>
      </c>
      <c r="J67" s="26">
        <v>15</v>
      </c>
      <c r="K67" s="25" t="s">
        <v>510</v>
      </c>
      <c r="L67" s="25" t="s">
        <v>2465</v>
      </c>
      <c r="M67" s="25" t="s">
        <v>2059</v>
      </c>
      <c r="N67" s="25" t="s">
        <v>1208</v>
      </c>
      <c r="O67" s="25" t="s">
        <v>2081</v>
      </c>
      <c r="P67" s="25" t="s">
        <v>2082</v>
      </c>
    </row>
    <row r="68" spans="1:16" x14ac:dyDescent="0.2">
      <c r="A68" s="25">
        <v>9674550680</v>
      </c>
      <c r="B68" s="25" t="s">
        <v>2604</v>
      </c>
      <c r="C68" s="26" t="s">
        <v>2083</v>
      </c>
      <c r="D68" s="26">
        <v>1</v>
      </c>
      <c r="E68" s="26" t="s">
        <v>1177</v>
      </c>
      <c r="F68" s="26" t="s">
        <v>1449</v>
      </c>
      <c r="G68" s="25" t="s">
        <v>1448</v>
      </c>
      <c r="H68" s="26" t="s">
        <v>2084</v>
      </c>
      <c r="I68" s="26">
        <v>20</v>
      </c>
      <c r="J68" s="26">
        <v>15</v>
      </c>
      <c r="K68" s="25" t="s">
        <v>510</v>
      </c>
      <c r="L68" s="25" t="s">
        <v>2465</v>
      </c>
      <c r="M68" s="25" t="s">
        <v>2059</v>
      </c>
      <c r="N68" s="25" t="s">
        <v>1208</v>
      </c>
      <c r="O68" s="25" t="s">
        <v>2081</v>
      </c>
      <c r="P68" s="25" t="s">
        <v>2082</v>
      </c>
    </row>
    <row r="69" spans="1:16" x14ac:dyDescent="0.2">
      <c r="A69" s="25">
        <v>9674550680</v>
      </c>
      <c r="B69" s="25" t="s">
        <v>2604</v>
      </c>
      <c r="C69" s="26" t="s">
        <v>2083</v>
      </c>
      <c r="D69" s="26">
        <v>2</v>
      </c>
      <c r="E69" s="26" t="s">
        <v>1177</v>
      </c>
      <c r="F69" s="26" t="s">
        <v>1449</v>
      </c>
      <c r="G69" s="25" t="s">
        <v>1448</v>
      </c>
      <c r="H69" s="26" t="s">
        <v>2084</v>
      </c>
      <c r="I69" s="26">
        <v>20</v>
      </c>
      <c r="J69" s="26">
        <v>15</v>
      </c>
      <c r="K69" s="25" t="s">
        <v>510</v>
      </c>
      <c r="L69" s="25" t="s">
        <v>2465</v>
      </c>
      <c r="M69" s="25" t="s">
        <v>2059</v>
      </c>
      <c r="N69" s="25" t="s">
        <v>1208</v>
      </c>
      <c r="O69" s="25" t="s">
        <v>2081</v>
      </c>
      <c r="P69" s="25" t="s">
        <v>2082</v>
      </c>
    </row>
    <row r="70" spans="1:16" x14ac:dyDescent="0.2">
      <c r="A70" s="25">
        <v>7903011386</v>
      </c>
      <c r="B70" s="25" t="s">
        <v>2579</v>
      </c>
      <c r="C70" s="26" t="s">
        <v>2085</v>
      </c>
      <c r="D70" s="26">
        <v>2</v>
      </c>
      <c r="E70" s="26" t="s">
        <v>1177</v>
      </c>
      <c r="F70" s="26" t="s">
        <v>1449</v>
      </c>
      <c r="G70" s="25" t="s">
        <v>1448</v>
      </c>
      <c r="H70" s="26" t="s">
        <v>1208</v>
      </c>
      <c r="I70" s="26" t="s">
        <v>1208</v>
      </c>
      <c r="J70" s="26" t="s">
        <v>1208</v>
      </c>
      <c r="K70" s="25" t="s">
        <v>510</v>
      </c>
      <c r="L70" s="25" t="s">
        <v>2465</v>
      </c>
      <c r="M70" s="25" t="s">
        <v>2059</v>
      </c>
      <c r="N70" s="25" t="s">
        <v>1208</v>
      </c>
      <c r="O70" s="25" t="s">
        <v>2081</v>
      </c>
      <c r="P70" s="25" t="s">
        <v>2086</v>
      </c>
    </row>
    <row r="71" spans="1:16" x14ac:dyDescent="0.2">
      <c r="A71" s="25">
        <v>7903042052</v>
      </c>
      <c r="B71" s="25" t="s">
        <v>2582</v>
      </c>
      <c r="C71" s="26" t="s">
        <v>2085</v>
      </c>
      <c r="D71" s="26">
        <v>1</v>
      </c>
      <c r="E71" s="26" t="s">
        <v>1177</v>
      </c>
      <c r="F71" s="26" t="s">
        <v>1449</v>
      </c>
      <c r="G71" s="25" t="s">
        <v>1448</v>
      </c>
      <c r="H71" s="26" t="s">
        <v>1208</v>
      </c>
      <c r="I71" s="26" t="s">
        <v>1208</v>
      </c>
      <c r="J71" s="26" t="s">
        <v>1208</v>
      </c>
      <c r="K71" s="25" t="s">
        <v>510</v>
      </c>
      <c r="L71" s="25" t="s">
        <v>2465</v>
      </c>
      <c r="M71" s="25" t="s">
        <v>2059</v>
      </c>
      <c r="N71" s="25" t="s">
        <v>1208</v>
      </c>
      <c r="O71" s="25" t="s">
        <v>2081</v>
      </c>
      <c r="P71" s="25" t="s">
        <v>2086</v>
      </c>
    </row>
    <row r="72" spans="1:16" x14ac:dyDescent="0.2">
      <c r="A72" s="25">
        <v>7903042052</v>
      </c>
      <c r="B72" s="25" t="s">
        <v>2582</v>
      </c>
      <c r="C72" s="26" t="s">
        <v>2085</v>
      </c>
      <c r="D72" s="26">
        <v>2</v>
      </c>
      <c r="E72" s="26" t="s">
        <v>1177</v>
      </c>
      <c r="F72" s="26" t="s">
        <v>1449</v>
      </c>
      <c r="G72" s="25" t="s">
        <v>1448</v>
      </c>
      <c r="H72" s="26" t="s">
        <v>1208</v>
      </c>
      <c r="I72" s="26" t="s">
        <v>1208</v>
      </c>
      <c r="J72" s="26" t="s">
        <v>1208</v>
      </c>
      <c r="K72" s="25" t="s">
        <v>510</v>
      </c>
      <c r="L72" s="25" t="s">
        <v>2465</v>
      </c>
      <c r="M72" s="25" t="s">
        <v>2059</v>
      </c>
      <c r="N72" s="25" t="s">
        <v>1208</v>
      </c>
      <c r="O72" s="25" t="s">
        <v>2081</v>
      </c>
      <c r="P72" s="25" t="s">
        <v>2086</v>
      </c>
    </row>
    <row r="73" spans="1:16" x14ac:dyDescent="0.2">
      <c r="A73" s="25">
        <v>7903233042</v>
      </c>
      <c r="B73" s="25" t="s">
        <v>2587</v>
      </c>
      <c r="C73" s="26" t="s">
        <v>2083</v>
      </c>
      <c r="D73" s="26">
        <v>1</v>
      </c>
      <c r="E73" s="26" t="s">
        <v>1176</v>
      </c>
      <c r="F73" s="26" t="s">
        <v>1525</v>
      </c>
      <c r="G73" s="25" t="s">
        <v>2467</v>
      </c>
      <c r="H73" s="26" t="s">
        <v>2084</v>
      </c>
      <c r="I73" s="26">
        <v>10</v>
      </c>
      <c r="J73" s="26">
        <v>15</v>
      </c>
      <c r="K73" s="25" t="s">
        <v>454</v>
      </c>
      <c r="L73" s="25" t="s">
        <v>2470</v>
      </c>
      <c r="M73" s="25" t="s">
        <v>2059</v>
      </c>
      <c r="N73" s="25" t="s">
        <v>2471</v>
      </c>
      <c r="O73" s="25" t="s">
        <v>2081</v>
      </c>
      <c r="P73" s="25" t="s">
        <v>2082</v>
      </c>
    </row>
    <row r="74" spans="1:16" x14ac:dyDescent="0.2">
      <c r="A74" s="25">
        <v>7903233043</v>
      </c>
      <c r="B74" s="25" t="s">
        <v>2588</v>
      </c>
      <c r="C74" s="26" t="s">
        <v>2083</v>
      </c>
      <c r="D74" s="26">
        <v>1</v>
      </c>
      <c r="E74" s="26" t="s">
        <v>1176</v>
      </c>
      <c r="F74" s="26" t="s">
        <v>1525</v>
      </c>
      <c r="G74" s="25" t="s">
        <v>2467</v>
      </c>
      <c r="H74" s="26" t="s">
        <v>2084</v>
      </c>
      <c r="I74" s="26">
        <v>20</v>
      </c>
      <c r="J74" s="26">
        <v>15</v>
      </c>
      <c r="K74" s="25" t="s">
        <v>454</v>
      </c>
      <c r="L74" s="25" t="s">
        <v>2470</v>
      </c>
      <c r="M74" s="25" t="s">
        <v>2059</v>
      </c>
      <c r="N74" s="25" t="s">
        <v>2471</v>
      </c>
      <c r="O74" s="25" t="s">
        <v>2081</v>
      </c>
      <c r="P74" s="25" t="s">
        <v>2082</v>
      </c>
    </row>
    <row r="75" spans="1:16" x14ac:dyDescent="0.2">
      <c r="A75" s="25">
        <v>9859653380</v>
      </c>
      <c r="B75" s="25" t="s">
        <v>2642</v>
      </c>
      <c r="C75" s="26" t="s">
        <v>2083</v>
      </c>
      <c r="D75" s="26">
        <v>1</v>
      </c>
      <c r="E75" s="26" t="s">
        <v>593</v>
      </c>
      <c r="F75" s="26" t="s">
        <v>1706</v>
      </c>
      <c r="G75" s="25" t="s">
        <v>2473</v>
      </c>
      <c r="H75" s="26" t="s">
        <v>2084</v>
      </c>
      <c r="I75" s="26">
        <v>30</v>
      </c>
      <c r="J75" s="26">
        <v>15</v>
      </c>
      <c r="K75" s="25" t="s">
        <v>240</v>
      </c>
      <c r="L75" s="25" t="s">
        <v>2478</v>
      </c>
      <c r="M75" s="25" t="s">
        <v>1209</v>
      </c>
      <c r="N75" s="25" t="s">
        <v>2479</v>
      </c>
      <c r="O75" s="25" t="s">
        <v>2081</v>
      </c>
      <c r="P75" s="25" t="s">
        <v>2082</v>
      </c>
    </row>
    <row r="76" spans="1:16" x14ac:dyDescent="0.2">
      <c r="A76" s="25">
        <v>9802186380</v>
      </c>
      <c r="B76" s="25" t="s">
        <v>0</v>
      </c>
      <c r="C76" s="26" t="s">
        <v>2083</v>
      </c>
      <c r="D76" s="26">
        <v>2</v>
      </c>
      <c r="E76" s="26" t="s">
        <v>593</v>
      </c>
      <c r="F76" s="26" t="s">
        <v>1706</v>
      </c>
      <c r="G76" s="25" t="s">
        <v>2473</v>
      </c>
      <c r="H76" s="26" t="s">
        <v>2480</v>
      </c>
      <c r="I76" s="26">
        <v>20</v>
      </c>
      <c r="J76" s="26">
        <v>15</v>
      </c>
      <c r="K76" s="25" t="s">
        <v>240</v>
      </c>
      <c r="L76" s="25" t="s">
        <v>2478</v>
      </c>
      <c r="M76" s="25" t="s">
        <v>1209</v>
      </c>
      <c r="N76" s="25" t="s">
        <v>2481</v>
      </c>
      <c r="O76" s="25" t="s">
        <v>2081</v>
      </c>
      <c r="P76" s="25" t="s">
        <v>2082</v>
      </c>
    </row>
    <row r="77" spans="1:16" x14ac:dyDescent="0.2">
      <c r="A77" s="25">
        <v>9625143780</v>
      </c>
      <c r="B77" s="25" t="s">
        <v>2594</v>
      </c>
      <c r="C77" s="26" t="s">
        <v>2085</v>
      </c>
      <c r="D77" s="26">
        <v>2</v>
      </c>
      <c r="E77" s="26" t="s">
        <v>593</v>
      </c>
      <c r="F77" s="26" t="s">
        <v>1706</v>
      </c>
      <c r="G77" s="25" t="s">
        <v>2473</v>
      </c>
      <c r="H77" s="26" t="s">
        <v>1208</v>
      </c>
      <c r="I77" s="26" t="s">
        <v>1208</v>
      </c>
      <c r="J77" s="26" t="s">
        <v>1208</v>
      </c>
      <c r="K77" s="25" t="s">
        <v>240</v>
      </c>
      <c r="L77" s="25" t="s">
        <v>2478</v>
      </c>
      <c r="M77" s="25" t="s">
        <v>1209</v>
      </c>
      <c r="N77" s="25" t="s">
        <v>2481</v>
      </c>
      <c r="O77" s="25" t="s">
        <v>2081</v>
      </c>
      <c r="P77" s="25" t="s">
        <v>2086</v>
      </c>
    </row>
    <row r="78" spans="1:16" x14ac:dyDescent="0.2">
      <c r="A78" s="25">
        <v>9671588080</v>
      </c>
      <c r="B78" s="25" t="s">
        <v>2601</v>
      </c>
      <c r="C78" s="26" t="s">
        <v>2083</v>
      </c>
      <c r="D78" s="26">
        <v>3</v>
      </c>
      <c r="E78" s="26" t="s">
        <v>1170</v>
      </c>
      <c r="F78" s="26" t="s">
        <v>1220</v>
      </c>
      <c r="G78" s="25" t="s">
        <v>2019</v>
      </c>
      <c r="H78" s="26" t="s">
        <v>2480</v>
      </c>
      <c r="I78" s="26">
        <v>8</v>
      </c>
      <c r="J78" s="26">
        <v>15</v>
      </c>
      <c r="K78" s="25" t="s">
        <v>2015</v>
      </c>
      <c r="L78" s="25" t="s">
        <v>2484</v>
      </c>
      <c r="M78" s="25" t="s">
        <v>1209</v>
      </c>
      <c r="N78" s="25" t="s">
        <v>1208</v>
      </c>
      <c r="O78" s="25" t="s">
        <v>2081</v>
      </c>
      <c r="P78" s="25" t="s">
        <v>2082</v>
      </c>
    </row>
    <row r="79" spans="1:16" x14ac:dyDescent="0.2">
      <c r="A79" s="25">
        <v>9850480880</v>
      </c>
      <c r="B79" s="25" t="s">
        <v>2640</v>
      </c>
      <c r="C79" s="26" t="s">
        <v>2083</v>
      </c>
      <c r="D79" s="26" t="s">
        <v>2489</v>
      </c>
      <c r="E79" s="26" t="s">
        <v>1172</v>
      </c>
      <c r="F79" s="26" t="s">
        <v>1486</v>
      </c>
      <c r="G79" s="25" t="s">
        <v>2485</v>
      </c>
      <c r="H79" s="26" t="s">
        <v>2290</v>
      </c>
      <c r="I79" s="26">
        <v>100</v>
      </c>
      <c r="J79" s="26">
        <v>10</v>
      </c>
      <c r="K79" s="25" t="s">
        <v>1977</v>
      </c>
      <c r="L79" s="25" t="s">
        <v>2490</v>
      </c>
      <c r="M79" s="25" t="s">
        <v>2059</v>
      </c>
      <c r="N79" s="25" t="s">
        <v>2491</v>
      </c>
      <c r="O79" s="25" t="s">
        <v>2081</v>
      </c>
      <c r="P79" s="25" t="s">
        <v>2082</v>
      </c>
    </row>
    <row r="80" spans="1:16" x14ac:dyDescent="0.2">
      <c r="A80" s="25" t="s">
        <v>2492</v>
      </c>
      <c r="C80" s="26" t="s">
        <v>2083</v>
      </c>
      <c r="D80" s="26">
        <v>2</v>
      </c>
      <c r="E80" s="26" t="s">
        <v>1172</v>
      </c>
      <c r="F80" s="26" t="s">
        <v>1486</v>
      </c>
      <c r="G80" s="25" t="s">
        <v>2485</v>
      </c>
      <c r="H80" s="26" t="s">
        <v>2290</v>
      </c>
      <c r="I80" s="26">
        <v>170</v>
      </c>
      <c r="J80" s="26">
        <v>10</v>
      </c>
      <c r="K80" s="25" t="s">
        <v>1977</v>
      </c>
      <c r="L80" s="25" t="s">
        <v>2490</v>
      </c>
      <c r="M80" s="25" t="s">
        <v>2059</v>
      </c>
      <c r="N80" s="25" t="s">
        <v>1208</v>
      </c>
      <c r="O80" s="25" t="s">
        <v>2081</v>
      </c>
      <c r="P80" s="25" t="s">
        <v>2082</v>
      </c>
    </row>
    <row r="81" spans="1:16" x14ac:dyDescent="0.2">
      <c r="A81" s="25">
        <v>9824674580</v>
      </c>
      <c r="B81" s="25" t="s">
        <v>2630</v>
      </c>
      <c r="C81" s="26" t="s">
        <v>2083</v>
      </c>
      <c r="D81" s="26">
        <v>3</v>
      </c>
      <c r="E81" s="26" t="s">
        <v>593</v>
      </c>
      <c r="F81" s="26" t="s">
        <v>2493</v>
      </c>
      <c r="G81" s="25" t="s">
        <v>2010</v>
      </c>
      <c r="H81" s="26" t="s">
        <v>2480</v>
      </c>
      <c r="I81" s="26">
        <v>4</v>
      </c>
      <c r="J81" s="26">
        <v>15</v>
      </c>
      <c r="K81" s="25" t="s">
        <v>2008</v>
      </c>
      <c r="L81" s="25" t="s">
        <v>2495</v>
      </c>
      <c r="M81" s="25" t="s">
        <v>1209</v>
      </c>
      <c r="N81" s="25" t="s">
        <v>1208</v>
      </c>
      <c r="O81" s="25" t="s">
        <v>2081</v>
      </c>
      <c r="P81" s="25" t="s">
        <v>2082</v>
      </c>
    </row>
    <row r="82" spans="1:16" x14ac:dyDescent="0.2">
      <c r="A82" s="25">
        <v>9822750180</v>
      </c>
      <c r="B82" s="25" t="s">
        <v>2628</v>
      </c>
      <c r="C82" s="26" t="s">
        <v>2083</v>
      </c>
      <c r="D82" s="26">
        <v>4</v>
      </c>
      <c r="E82" s="26" t="e">
        <v>#N/A</v>
      </c>
      <c r="F82" s="26" t="s">
        <v>1982</v>
      </c>
      <c r="G82" s="25" t="s">
        <v>1981</v>
      </c>
      <c r="H82" s="26" t="s">
        <v>2480</v>
      </c>
      <c r="I82" s="26">
        <v>8</v>
      </c>
      <c r="J82" s="26">
        <v>15</v>
      </c>
      <c r="K82" s="25" t="s">
        <v>1979</v>
      </c>
      <c r="L82" s="25" t="s">
        <v>2499</v>
      </c>
      <c r="M82" s="25" t="s">
        <v>2059</v>
      </c>
      <c r="N82" s="25" t="s">
        <v>1208</v>
      </c>
      <c r="O82" s="25" t="s">
        <v>2081</v>
      </c>
      <c r="P82" s="25" t="s">
        <v>2082</v>
      </c>
    </row>
    <row r="83" spans="1:16" x14ac:dyDescent="0.2">
      <c r="A83" s="25">
        <v>9671588080</v>
      </c>
      <c r="B83" s="25" t="s">
        <v>2601</v>
      </c>
      <c r="C83" s="26" t="s">
        <v>2083</v>
      </c>
      <c r="D83" s="26">
        <v>4</v>
      </c>
      <c r="E83" s="26" t="s">
        <v>1174</v>
      </c>
      <c r="F83" s="26" t="s">
        <v>1434</v>
      </c>
      <c r="G83" s="25" t="s">
        <v>2501</v>
      </c>
      <c r="H83" s="26" t="s">
        <v>2298</v>
      </c>
      <c r="I83" s="26">
        <v>8</v>
      </c>
      <c r="J83" s="26">
        <v>0.15</v>
      </c>
      <c r="K83" s="25" t="s">
        <v>2040</v>
      </c>
      <c r="L83" s="25" t="s">
        <v>2504</v>
      </c>
      <c r="M83" s="25" t="s">
        <v>1207</v>
      </c>
      <c r="N83" s="25" t="s">
        <v>2505</v>
      </c>
      <c r="O83" s="25" t="s">
        <v>2081</v>
      </c>
      <c r="P83" s="25" t="s">
        <v>2082</v>
      </c>
    </row>
    <row r="84" spans="1:16" x14ac:dyDescent="0.2">
      <c r="A84" s="25">
        <v>9683696980</v>
      </c>
      <c r="B84" s="25" t="s">
        <v>2610</v>
      </c>
      <c r="C84" s="26" t="s">
        <v>2083</v>
      </c>
      <c r="D84" s="26">
        <v>2</v>
      </c>
      <c r="E84" s="26" t="s">
        <v>1173</v>
      </c>
      <c r="F84" s="26" t="s">
        <v>1759</v>
      </c>
      <c r="G84" s="25" t="s">
        <v>2506</v>
      </c>
      <c r="H84" s="26" t="s">
        <v>2290</v>
      </c>
      <c r="I84" s="26">
        <v>75</v>
      </c>
      <c r="J84" s="26">
        <v>15</v>
      </c>
      <c r="K84" s="25" t="s">
        <v>31</v>
      </c>
      <c r="L84" s="25" t="s">
        <v>2510</v>
      </c>
      <c r="M84" s="25" t="s">
        <v>2059</v>
      </c>
      <c r="N84" s="25" t="s">
        <v>2511</v>
      </c>
      <c r="O84" s="25" t="s">
        <v>2081</v>
      </c>
      <c r="P84" s="25" t="s">
        <v>2082</v>
      </c>
    </row>
    <row r="85" spans="1:16" x14ac:dyDescent="0.2">
      <c r="A85" s="25">
        <v>9662022580</v>
      </c>
      <c r="B85" s="25" t="s">
        <v>2600</v>
      </c>
      <c r="C85" s="26" t="s">
        <v>2083</v>
      </c>
      <c r="D85" s="26">
        <v>1</v>
      </c>
      <c r="E85" s="26" t="s">
        <v>612</v>
      </c>
      <c r="F85" s="26" t="s">
        <v>1537</v>
      </c>
      <c r="G85" s="25" t="s">
        <v>1532</v>
      </c>
      <c r="H85" s="26" t="s">
        <v>2298</v>
      </c>
      <c r="I85" s="26">
        <v>40</v>
      </c>
      <c r="J85" s="26">
        <v>15</v>
      </c>
      <c r="K85" s="25" t="s">
        <v>133</v>
      </c>
      <c r="L85" s="25" t="s">
        <v>2515</v>
      </c>
      <c r="M85" s="25" t="s">
        <v>1209</v>
      </c>
      <c r="N85" s="25" t="s">
        <v>2516</v>
      </c>
      <c r="O85" s="25" t="s">
        <v>2081</v>
      </c>
      <c r="P85" s="25" t="s">
        <v>2082</v>
      </c>
    </row>
    <row r="86" spans="1:16" x14ac:dyDescent="0.2">
      <c r="A86" s="25">
        <v>7903233044</v>
      </c>
      <c r="B86" s="25" t="s">
        <v>2589</v>
      </c>
      <c r="C86" s="26" t="s">
        <v>2083</v>
      </c>
      <c r="D86" s="26">
        <v>1</v>
      </c>
      <c r="E86" s="26" t="s">
        <v>612</v>
      </c>
      <c r="F86" s="26" t="s">
        <v>1537</v>
      </c>
      <c r="G86" s="25" t="s">
        <v>1532</v>
      </c>
      <c r="H86" s="26" t="s">
        <v>2298</v>
      </c>
      <c r="I86" s="26">
        <v>40</v>
      </c>
      <c r="J86" s="26">
        <v>15</v>
      </c>
      <c r="K86" s="25" t="s">
        <v>133</v>
      </c>
      <c r="L86" s="25" t="s">
        <v>2515</v>
      </c>
      <c r="M86" s="25" t="s">
        <v>1209</v>
      </c>
      <c r="N86" s="25" t="s">
        <v>2517</v>
      </c>
      <c r="O86" s="25" t="s">
        <v>2081</v>
      </c>
      <c r="P86" s="25" t="s">
        <v>2082</v>
      </c>
    </row>
    <row r="87" spans="1:16" x14ac:dyDescent="0.2">
      <c r="A87" s="25">
        <v>9638863880</v>
      </c>
      <c r="B87" s="25" t="s">
        <v>2597</v>
      </c>
      <c r="C87" s="26" t="s">
        <v>2085</v>
      </c>
      <c r="D87" s="26">
        <v>1</v>
      </c>
      <c r="E87" s="26" t="s">
        <v>612</v>
      </c>
      <c r="F87" s="26" t="s">
        <v>1537</v>
      </c>
      <c r="G87" s="25" t="s">
        <v>1532</v>
      </c>
      <c r="H87" s="26" t="s">
        <v>2298</v>
      </c>
      <c r="I87" s="26">
        <v>40</v>
      </c>
      <c r="J87" s="26">
        <v>15</v>
      </c>
      <c r="K87" s="25" t="s">
        <v>133</v>
      </c>
      <c r="L87" s="25" t="s">
        <v>2515</v>
      </c>
      <c r="M87" s="25" t="s">
        <v>1209</v>
      </c>
      <c r="N87" s="25" t="s">
        <v>2516</v>
      </c>
      <c r="O87" s="25" t="s">
        <v>2081</v>
      </c>
      <c r="P87" s="25" t="s">
        <v>2086</v>
      </c>
    </row>
    <row r="88" spans="1:16" x14ac:dyDescent="0.2">
      <c r="A88" s="25">
        <v>9842789580</v>
      </c>
      <c r="B88" s="25" t="s">
        <v>2637</v>
      </c>
      <c r="C88" s="26" t="s">
        <v>2085</v>
      </c>
      <c r="D88" s="26">
        <v>1</v>
      </c>
      <c r="E88" s="26" t="s">
        <v>612</v>
      </c>
      <c r="F88" s="26" t="s">
        <v>1537</v>
      </c>
      <c r="G88" s="25" t="s">
        <v>1532</v>
      </c>
      <c r="H88" s="26" t="s">
        <v>2298</v>
      </c>
      <c r="I88" s="26">
        <v>40</v>
      </c>
      <c r="J88" s="26">
        <v>15</v>
      </c>
      <c r="K88" s="25" t="s">
        <v>133</v>
      </c>
      <c r="L88" s="25" t="s">
        <v>2515</v>
      </c>
      <c r="M88" s="25" t="s">
        <v>1209</v>
      </c>
      <c r="N88" s="25" t="s">
        <v>2517</v>
      </c>
      <c r="O88" s="25" t="s">
        <v>2081</v>
      </c>
      <c r="P88" s="25" t="s">
        <v>2086</v>
      </c>
    </row>
    <row r="89" spans="1:16" x14ac:dyDescent="0.2">
      <c r="A89" s="25">
        <v>9644634980</v>
      </c>
      <c r="B89" s="25" t="s">
        <v>2598</v>
      </c>
      <c r="C89" s="26" t="s">
        <v>2083</v>
      </c>
      <c r="D89" s="26">
        <v>1</v>
      </c>
      <c r="E89" s="26" t="s">
        <v>612</v>
      </c>
      <c r="F89" s="26" t="s">
        <v>1537</v>
      </c>
      <c r="G89" s="25" t="s">
        <v>1536</v>
      </c>
      <c r="H89" s="26" t="s">
        <v>2298</v>
      </c>
      <c r="I89" s="26">
        <v>40</v>
      </c>
      <c r="J89" s="26">
        <v>15</v>
      </c>
      <c r="K89" s="25" t="s">
        <v>131</v>
      </c>
      <c r="L89" s="25" t="s">
        <v>2521</v>
      </c>
      <c r="M89" s="25" t="s">
        <v>2645</v>
      </c>
      <c r="N89" s="25" t="s">
        <v>2522</v>
      </c>
      <c r="O89" s="25" t="s">
        <v>2081</v>
      </c>
      <c r="P89" s="25" t="s">
        <v>2082</v>
      </c>
    </row>
    <row r="90" spans="1:16" x14ac:dyDescent="0.2">
      <c r="A90" s="25">
        <v>9810968780</v>
      </c>
      <c r="B90" s="25" t="s">
        <v>2624</v>
      </c>
      <c r="C90" s="26" t="s">
        <v>2085</v>
      </c>
      <c r="D90" s="26">
        <v>1</v>
      </c>
      <c r="E90" s="26" t="s">
        <v>612</v>
      </c>
      <c r="F90" s="26" t="s">
        <v>1537</v>
      </c>
      <c r="G90" s="25" t="s">
        <v>1536</v>
      </c>
      <c r="H90" s="26" t="s">
        <v>2298</v>
      </c>
      <c r="I90" s="26">
        <v>40</v>
      </c>
      <c r="J90" s="26">
        <v>15</v>
      </c>
      <c r="K90" s="25" t="s">
        <v>131</v>
      </c>
      <c r="L90" s="25" t="s">
        <v>2521</v>
      </c>
      <c r="M90" s="25" t="s">
        <v>2645</v>
      </c>
      <c r="N90" s="25" t="s">
        <v>2522</v>
      </c>
      <c r="O90" s="25" t="s">
        <v>2081</v>
      </c>
      <c r="P90" s="25" t="s">
        <v>2086</v>
      </c>
    </row>
    <row r="91" spans="1:16" x14ac:dyDescent="0.2">
      <c r="A91" s="25">
        <v>9802774480</v>
      </c>
      <c r="B91" s="25" t="s">
        <v>2620</v>
      </c>
      <c r="C91" s="26" t="s">
        <v>2083</v>
      </c>
      <c r="D91" s="26">
        <v>2</v>
      </c>
      <c r="E91" s="26" t="s">
        <v>1169</v>
      </c>
      <c r="F91" s="26" t="s">
        <v>1338</v>
      </c>
      <c r="G91" s="25" t="s">
        <v>1591</v>
      </c>
      <c r="H91" s="26" t="s">
        <v>2084</v>
      </c>
      <c r="I91" s="26">
        <v>4</v>
      </c>
      <c r="J91" s="26">
        <v>15</v>
      </c>
      <c r="K91" s="25" t="s">
        <v>291</v>
      </c>
      <c r="L91" s="25" t="s">
        <v>2527</v>
      </c>
      <c r="M91" s="25" t="s">
        <v>2059</v>
      </c>
      <c r="N91" s="25" t="s">
        <v>2528</v>
      </c>
      <c r="O91" s="25" t="s">
        <v>2081</v>
      </c>
      <c r="P91" s="25" t="s">
        <v>2082</v>
      </c>
    </row>
    <row r="92" spans="1:16" x14ac:dyDescent="0.2">
      <c r="A92" s="25">
        <v>9802774480</v>
      </c>
      <c r="B92" s="25" t="s">
        <v>2620</v>
      </c>
      <c r="C92" s="26" t="s">
        <v>2083</v>
      </c>
      <c r="D92" s="26">
        <v>2</v>
      </c>
      <c r="E92" s="26" t="s">
        <v>1169</v>
      </c>
      <c r="F92" s="26" t="s">
        <v>1338</v>
      </c>
      <c r="G92" s="25" t="s">
        <v>1591</v>
      </c>
      <c r="H92" s="26" t="s">
        <v>2084</v>
      </c>
      <c r="I92" s="26">
        <v>4</v>
      </c>
      <c r="J92" s="26">
        <v>15</v>
      </c>
      <c r="K92" s="25" t="s">
        <v>291</v>
      </c>
      <c r="L92" s="25" t="s">
        <v>2527</v>
      </c>
      <c r="M92" s="25" t="s">
        <v>2059</v>
      </c>
      <c r="N92" s="25" t="s">
        <v>2529</v>
      </c>
      <c r="O92" s="25" t="s">
        <v>2081</v>
      </c>
      <c r="P92" s="25" t="s">
        <v>2082</v>
      </c>
    </row>
    <row r="93" spans="1:16" x14ac:dyDescent="0.2">
      <c r="A93" s="25">
        <v>9802774480</v>
      </c>
      <c r="B93" s="25" t="s">
        <v>2620</v>
      </c>
      <c r="C93" s="26" t="s">
        <v>2083</v>
      </c>
      <c r="D93" s="26">
        <v>4</v>
      </c>
      <c r="E93" s="26" t="s">
        <v>1169</v>
      </c>
      <c r="F93" s="26" t="s">
        <v>1338</v>
      </c>
      <c r="G93" s="25" t="s">
        <v>1591</v>
      </c>
      <c r="H93" s="26" t="s">
        <v>2084</v>
      </c>
      <c r="I93" s="26">
        <v>4</v>
      </c>
      <c r="J93" s="26">
        <v>15</v>
      </c>
      <c r="K93" s="25" t="s">
        <v>291</v>
      </c>
      <c r="L93" s="25" t="s">
        <v>2527</v>
      </c>
      <c r="M93" s="25" t="s">
        <v>2059</v>
      </c>
      <c r="N93" s="25" t="s">
        <v>2530</v>
      </c>
      <c r="O93" s="25" t="s">
        <v>2081</v>
      </c>
      <c r="P93" s="25" t="s">
        <v>2082</v>
      </c>
    </row>
    <row r="94" spans="1:16" x14ac:dyDescent="0.2">
      <c r="A94" s="25">
        <v>7903301290</v>
      </c>
      <c r="B94" s="25" t="s">
        <v>2590</v>
      </c>
      <c r="C94" s="26" t="s">
        <v>2083</v>
      </c>
      <c r="D94" s="26">
        <v>4</v>
      </c>
      <c r="E94" s="26" t="s">
        <v>1169</v>
      </c>
      <c r="F94" s="26" t="s">
        <v>1338</v>
      </c>
      <c r="G94" s="25" t="s">
        <v>1591</v>
      </c>
      <c r="H94" s="26" t="s">
        <v>2084</v>
      </c>
      <c r="I94" s="26">
        <v>4</v>
      </c>
      <c r="J94" s="26">
        <v>15</v>
      </c>
      <c r="K94" s="25" t="s">
        <v>291</v>
      </c>
      <c r="L94" s="25" t="s">
        <v>2527</v>
      </c>
      <c r="M94" s="25" t="s">
        <v>2059</v>
      </c>
      <c r="N94" s="25" t="s">
        <v>2531</v>
      </c>
      <c r="O94" s="25" t="s">
        <v>2081</v>
      </c>
      <c r="P94" s="25" t="s">
        <v>2082</v>
      </c>
    </row>
    <row r="95" spans="1:16" x14ac:dyDescent="0.2">
      <c r="A95" s="25">
        <v>9685584180</v>
      </c>
      <c r="B95" s="25" t="s">
        <v>2615</v>
      </c>
      <c r="C95" s="26" t="s">
        <v>2083</v>
      </c>
      <c r="D95" s="26">
        <v>2</v>
      </c>
      <c r="E95" s="26" t="s">
        <v>593</v>
      </c>
      <c r="F95" s="26" t="s">
        <v>1595</v>
      </c>
      <c r="G95" s="25" t="s">
        <v>1594</v>
      </c>
      <c r="H95" s="26" t="s">
        <v>2084</v>
      </c>
      <c r="I95" s="26">
        <v>8</v>
      </c>
      <c r="J95" s="26">
        <v>15</v>
      </c>
      <c r="K95" s="25" t="s">
        <v>370</v>
      </c>
      <c r="L95" s="25" t="s">
        <v>2535</v>
      </c>
      <c r="M95" s="25" t="s">
        <v>2059</v>
      </c>
      <c r="N95" s="25" t="s">
        <v>2536</v>
      </c>
      <c r="O95" s="25" t="s">
        <v>2081</v>
      </c>
      <c r="P95" s="25" t="s">
        <v>2082</v>
      </c>
    </row>
    <row r="96" spans="1:16" x14ac:dyDescent="0.2">
      <c r="A96" s="25">
        <v>9685584180</v>
      </c>
      <c r="B96" s="25" t="s">
        <v>2615</v>
      </c>
      <c r="C96" s="26" t="s">
        <v>2083</v>
      </c>
      <c r="D96" s="26">
        <v>1</v>
      </c>
      <c r="E96" s="26" t="s">
        <v>593</v>
      </c>
      <c r="F96" s="26" t="s">
        <v>1595</v>
      </c>
      <c r="G96" s="25" t="s">
        <v>1594</v>
      </c>
      <c r="H96" s="26" t="s">
        <v>2084</v>
      </c>
      <c r="I96" s="26">
        <v>8</v>
      </c>
      <c r="J96" s="26">
        <v>15</v>
      </c>
      <c r="K96" s="25" t="s">
        <v>370</v>
      </c>
      <c r="L96" s="25" t="s">
        <v>2535</v>
      </c>
      <c r="M96" s="25" t="s">
        <v>2059</v>
      </c>
      <c r="N96" s="25" t="s">
        <v>2537</v>
      </c>
      <c r="O96" s="25" t="s">
        <v>2081</v>
      </c>
      <c r="P96" s="25" t="s">
        <v>2082</v>
      </c>
    </row>
    <row r="97" spans="1:16" x14ac:dyDescent="0.2">
      <c r="A97" s="25">
        <v>9685584180</v>
      </c>
      <c r="B97" s="25" t="s">
        <v>2615</v>
      </c>
      <c r="C97" s="26" t="s">
        <v>2083</v>
      </c>
      <c r="D97" s="26">
        <v>1</v>
      </c>
      <c r="E97" s="26" t="s">
        <v>593</v>
      </c>
      <c r="F97" s="26" t="s">
        <v>1595</v>
      </c>
      <c r="G97" s="25" t="s">
        <v>1594</v>
      </c>
      <c r="H97" s="26" t="s">
        <v>2084</v>
      </c>
      <c r="I97" s="26">
        <v>8</v>
      </c>
      <c r="J97" s="26">
        <v>15</v>
      </c>
      <c r="K97" s="25" t="s">
        <v>370</v>
      </c>
      <c r="L97" s="25" t="s">
        <v>2535</v>
      </c>
      <c r="M97" s="25" t="s">
        <v>2059</v>
      </c>
      <c r="N97" s="25" t="s">
        <v>2538</v>
      </c>
      <c r="O97" s="25" t="s">
        <v>2081</v>
      </c>
      <c r="P97" s="25" t="s">
        <v>2082</v>
      </c>
    </row>
    <row r="98" spans="1:16" x14ac:dyDescent="0.2">
      <c r="A98" s="25">
        <v>7903042051</v>
      </c>
      <c r="B98" s="25" t="s">
        <v>2581</v>
      </c>
      <c r="C98" s="26" t="s">
        <v>2085</v>
      </c>
      <c r="D98" s="26">
        <v>2</v>
      </c>
      <c r="E98" s="26" t="s">
        <v>593</v>
      </c>
      <c r="F98" s="26" t="s">
        <v>1595</v>
      </c>
      <c r="G98" s="25" t="s">
        <v>1594</v>
      </c>
      <c r="H98" s="26" t="s">
        <v>2084</v>
      </c>
      <c r="I98" s="26">
        <v>8</v>
      </c>
      <c r="J98" s="26">
        <v>15</v>
      </c>
      <c r="K98" s="25" t="s">
        <v>370</v>
      </c>
      <c r="L98" s="25" t="s">
        <v>2535</v>
      </c>
      <c r="M98" s="25" t="s">
        <v>2059</v>
      </c>
      <c r="N98" s="25" t="s">
        <v>2536</v>
      </c>
      <c r="O98" s="25" t="s">
        <v>2081</v>
      </c>
      <c r="P98" s="25" t="s">
        <v>2086</v>
      </c>
    </row>
    <row r="99" spans="1:16" x14ac:dyDescent="0.2">
      <c r="A99" s="25">
        <v>9634473380</v>
      </c>
      <c r="B99" s="25" t="s">
        <v>2596</v>
      </c>
      <c r="C99" s="26" t="s">
        <v>2085</v>
      </c>
      <c r="D99" s="26">
        <v>2</v>
      </c>
      <c r="E99" s="26" t="s">
        <v>593</v>
      </c>
      <c r="F99" s="26" t="s">
        <v>1595</v>
      </c>
      <c r="G99" s="25" t="s">
        <v>1594</v>
      </c>
      <c r="H99" s="26" t="s">
        <v>2084</v>
      </c>
      <c r="I99" s="26">
        <v>8</v>
      </c>
      <c r="J99" s="26">
        <v>15</v>
      </c>
      <c r="K99" s="25" t="s">
        <v>370</v>
      </c>
      <c r="L99" s="25" t="s">
        <v>2535</v>
      </c>
      <c r="M99" s="25" t="s">
        <v>2059</v>
      </c>
      <c r="N99" s="25" t="s">
        <v>2536</v>
      </c>
      <c r="O99" s="25" t="s">
        <v>2081</v>
      </c>
      <c r="P99" s="25" t="s">
        <v>2086</v>
      </c>
    </row>
    <row r="100" spans="1:16" x14ac:dyDescent="0.2">
      <c r="A100" s="25">
        <v>9674550680</v>
      </c>
      <c r="B100" s="25" t="s">
        <v>2604</v>
      </c>
      <c r="C100" s="26" t="s">
        <v>2083</v>
      </c>
      <c r="D100" s="26">
        <v>6</v>
      </c>
      <c r="E100" s="26" t="s">
        <v>593</v>
      </c>
      <c r="F100" s="26" t="s">
        <v>1218</v>
      </c>
      <c r="G100" s="25" t="s">
        <v>1598</v>
      </c>
      <c r="H100" s="26" t="s">
        <v>2298</v>
      </c>
      <c r="I100" s="26">
        <v>30</v>
      </c>
      <c r="J100" s="26">
        <v>15</v>
      </c>
      <c r="K100" s="25" t="s">
        <v>409</v>
      </c>
      <c r="L100" s="25" t="s">
        <v>2547</v>
      </c>
      <c r="M100" s="25" t="s">
        <v>1207</v>
      </c>
      <c r="N100" s="25" t="s">
        <v>2548</v>
      </c>
      <c r="O100" s="25" t="s">
        <v>2081</v>
      </c>
      <c r="P100" s="25" t="s">
        <v>2082</v>
      </c>
    </row>
    <row r="101" spans="1:16" x14ac:dyDescent="0.2">
      <c r="A101" s="25">
        <v>9847242880</v>
      </c>
      <c r="B101" s="25" t="s">
        <v>2638</v>
      </c>
      <c r="C101" s="26" t="s">
        <v>2083</v>
      </c>
      <c r="D101" s="26">
        <v>8</v>
      </c>
      <c r="E101" s="26" t="s">
        <v>593</v>
      </c>
      <c r="F101" s="26" t="s">
        <v>1218</v>
      </c>
      <c r="G101" s="25" t="s">
        <v>1598</v>
      </c>
      <c r="H101" s="26" t="s">
        <v>2298</v>
      </c>
      <c r="I101" s="26">
        <v>60</v>
      </c>
      <c r="J101" s="26">
        <v>15</v>
      </c>
      <c r="K101" s="25" t="s">
        <v>409</v>
      </c>
      <c r="L101" s="25" t="s">
        <v>2547</v>
      </c>
      <c r="M101" s="25" t="s">
        <v>1207</v>
      </c>
      <c r="N101" s="25" t="s">
        <v>2548</v>
      </c>
      <c r="O101" s="25" t="s">
        <v>2081</v>
      </c>
      <c r="P101" s="25" t="s">
        <v>2082</v>
      </c>
    </row>
    <row r="102" spans="1:16" x14ac:dyDescent="0.2">
      <c r="A102" s="25">
        <v>9682642180</v>
      </c>
      <c r="B102" s="25" t="s">
        <v>2593</v>
      </c>
      <c r="C102" s="26" t="s">
        <v>2085</v>
      </c>
      <c r="D102" s="26">
        <v>6</v>
      </c>
      <c r="E102" s="26" t="s">
        <v>593</v>
      </c>
      <c r="F102" s="26" t="s">
        <v>1218</v>
      </c>
      <c r="G102" s="25" t="s">
        <v>1598</v>
      </c>
      <c r="H102" s="26" t="s">
        <v>2298</v>
      </c>
      <c r="I102" s="26">
        <v>30</v>
      </c>
      <c r="J102" s="26">
        <v>15</v>
      </c>
      <c r="K102" s="25" t="s">
        <v>409</v>
      </c>
      <c r="L102" s="25" t="s">
        <v>2547</v>
      </c>
      <c r="M102" s="25" t="s">
        <v>1207</v>
      </c>
      <c r="N102" s="25" t="s">
        <v>2548</v>
      </c>
      <c r="O102" s="25" t="s">
        <v>2081</v>
      </c>
      <c r="P102" s="25" t="s">
        <v>2086</v>
      </c>
    </row>
    <row r="103" spans="1:16" x14ac:dyDescent="0.2">
      <c r="A103" s="25">
        <v>9617771280</v>
      </c>
      <c r="B103" s="25" t="s">
        <v>2593</v>
      </c>
      <c r="C103" s="26" t="s">
        <v>2085</v>
      </c>
      <c r="D103" s="26">
        <v>6</v>
      </c>
      <c r="E103" s="26" t="s">
        <v>593</v>
      </c>
      <c r="F103" s="26" t="s">
        <v>1218</v>
      </c>
      <c r="G103" s="25" t="s">
        <v>1598</v>
      </c>
      <c r="H103" s="26" t="s">
        <v>2298</v>
      </c>
      <c r="I103" s="26">
        <v>30</v>
      </c>
      <c r="J103" s="26">
        <v>15</v>
      </c>
      <c r="K103" s="25" t="s">
        <v>409</v>
      </c>
      <c r="L103" s="25" t="s">
        <v>2547</v>
      </c>
      <c r="M103" s="25" t="s">
        <v>1207</v>
      </c>
      <c r="N103" s="25" t="s">
        <v>2548</v>
      </c>
      <c r="O103" s="25" t="s">
        <v>2081</v>
      </c>
      <c r="P103" s="25" t="s">
        <v>2086</v>
      </c>
    </row>
    <row r="104" spans="1:16" x14ac:dyDescent="0.2">
      <c r="A104" s="25">
        <v>9839180580</v>
      </c>
      <c r="B104" s="25" t="s">
        <v>2634</v>
      </c>
      <c r="C104" s="26" t="s">
        <v>2085</v>
      </c>
      <c r="D104" s="26">
        <v>8</v>
      </c>
      <c r="E104" s="26" t="s">
        <v>593</v>
      </c>
      <c r="F104" s="26" t="s">
        <v>1218</v>
      </c>
      <c r="G104" s="25" t="s">
        <v>1598</v>
      </c>
      <c r="H104" s="26" t="s">
        <v>2298</v>
      </c>
      <c r="I104" s="26">
        <v>60</v>
      </c>
      <c r="J104" s="26">
        <v>15</v>
      </c>
      <c r="K104" s="25" t="s">
        <v>409</v>
      </c>
      <c r="L104" s="25" t="s">
        <v>2547</v>
      </c>
      <c r="M104" s="25" t="s">
        <v>1207</v>
      </c>
      <c r="N104" s="25" t="s">
        <v>2548</v>
      </c>
      <c r="O104" s="25" t="s">
        <v>2081</v>
      </c>
      <c r="P104" s="25" t="s">
        <v>2086</v>
      </c>
    </row>
    <row r="105" spans="1:16" x14ac:dyDescent="0.2">
      <c r="A105" s="25">
        <v>7903017070</v>
      </c>
      <c r="B105" s="25" t="s">
        <v>2580</v>
      </c>
      <c r="C105" s="26" t="s">
        <v>2083</v>
      </c>
      <c r="D105" s="26">
        <v>1</v>
      </c>
      <c r="E105" s="26" t="s">
        <v>1169</v>
      </c>
      <c r="F105" s="26" t="s">
        <v>1338</v>
      </c>
      <c r="G105" s="25" t="s">
        <v>2551</v>
      </c>
      <c r="H105" s="26" t="s">
        <v>2556</v>
      </c>
      <c r="I105" s="26">
        <v>2</v>
      </c>
      <c r="J105" s="26">
        <v>15</v>
      </c>
      <c r="K105" s="25" t="s">
        <v>141</v>
      </c>
      <c r="L105" s="25" t="s">
        <v>2557</v>
      </c>
      <c r="M105" s="25" t="s">
        <v>2059</v>
      </c>
      <c r="N105" s="25" t="s">
        <v>2558</v>
      </c>
      <c r="O105" s="25" t="s">
        <v>2081</v>
      </c>
      <c r="P105" s="25" t="s">
        <v>2082</v>
      </c>
    </row>
    <row r="106" spans="1:16" x14ac:dyDescent="0.2">
      <c r="A106" s="25">
        <v>9674550680</v>
      </c>
      <c r="B106" s="25" t="s">
        <v>2604</v>
      </c>
      <c r="C106" s="26" t="s">
        <v>2083</v>
      </c>
      <c r="D106" s="26">
        <v>3</v>
      </c>
      <c r="E106" s="26" t="s">
        <v>1173</v>
      </c>
      <c r="F106" s="26" t="s">
        <v>1264</v>
      </c>
      <c r="G106" s="25" t="s">
        <v>1924</v>
      </c>
      <c r="H106" s="26" t="s">
        <v>2290</v>
      </c>
      <c r="I106" s="26">
        <v>30</v>
      </c>
      <c r="J106" s="26">
        <v>10</v>
      </c>
      <c r="K106" s="25" t="s">
        <v>194</v>
      </c>
      <c r="L106" s="25" t="s">
        <v>2571</v>
      </c>
      <c r="M106" s="25" t="s">
        <v>2059</v>
      </c>
      <c r="N106" s="25" t="s">
        <v>2572</v>
      </c>
      <c r="O106" s="25" t="s">
        <v>2081</v>
      </c>
      <c r="P106" s="25" t="s">
        <v>2082</v>
      </c>
    </row>
    <row r="107" spans="1:16" x14ac:dyDescent="0.2">
      <c r="A107" s="25">
        <v>9811753080</v>
      </c>
      <c r="B107" s="25" t="s">
        <v>2625</v>
      </c>
      <c r="C107" s="26" t="s">
        <v>2083</v>
      </c>
      <c r="D107" s="26">
        <v>3</v>
      </c>
      <c r="E107" s="26" t="s">
        <v>1173</v>
      </c>
      <c r="F107" s="26" t="s">
        <v>1264</v>
      </c>
      <c r="G107" s="25" t="s">
        <v>1924</v>
      </c>
      <c r="H107" s="26" t="s">
        <v>2290</v>
      </c>
      <c r="I107" s="26">
        <v>30</v>
      </c>
      <c r="J107" s="26">
        <v>10</v>
      </c>
      <c r="K107" s="25" t="s">
        <v>194</v>
      </c>
      <c r="L107" s="25" t="s">
        <v>2571</v>
      </c>
      <c r="M107" s="25" t="s">
        <v>2059</v>
      </c>
      <c r="N107" s="25" t="s">
        <v>2572</v>
      </c>
      <c r="O107" s="25" t="s">
        <v>2081</v>
      </c>
      <c r="P107" s="25" t="s">
        <v>2082</v>
      </c>
    </row>
    <row r="108" spans="1:16" x14ac:dyDescent="0.2">
      <c r="A108" s="25">
        <v>9685600980</v>
      </c>
      <c r="B108" s="25" t="s">
        <v>2646</v>
      </c>
      <c r="C108" s="26" t="s">
        <v>2085</v>
      </c>
      <c r="D108" s="26">
        <v>4</v>
      </c>
      <c r="E108" s="26" t="s">
        <v>593</v>
      </c>
      <c r="F108" s="26" t="s">
        <v>1206</v>
      </c>
      <c r="G108" s="25" t="s">
        <v>2647</v>
      </c>
      <c r="H108" s="26" t="s">
        <v>2084</v>
      </c>
      <c r="I108" s="26">
        <v>4</v>
      </c>
      <c r="J108" s="26">
        <v>15</v>
      </c>
      <c r="K108" s="25" t="s">
        <v>2041</v>
      </c>
      <c r="L108" s="32" t="s">
        <v>2648</v>
      </c>
      <c r="M108" s="25" t="s">
        <v>2649</v>
      </c>
      <c r="N108" s="25" t="s">
        <v>2650</v>
      </c>
      <c r="O108" s="25" t="s">
        <v>2081</v>
      </c>
      <c r="P108" s="25" t="s">
        <v>2082</v>
      </c>
    </row>
    <row r="109" spans="1:16" x14ac:dyDescent="0.2">
      <c r="A109" s="25">
        <v>9801024980</v>
      </c>
      <c r="B109" s="25" t="s">
        <v>2651</v>
      </c>
      <c r="C109" s="26" t="s">
        <v>2083</v>
      </c>
      <c r="D109" s="26">
        <v>2</v>
      </c>
      <c r="E109" s="26" t="s">
        <v>593</v>
      </c>
      <c r="F109" s="26" t="s">
        <v>1206</v>
      </c>
      <c r="G109" s="25" t="s">
        <v>2647</v>
      </c>
      <c r="H109" s="26" t="s">
        <v>2556</v>
      </c>
      <c r="I109" s="26">
        <v>2</v>
      </c>
      <c r="J109" s="26">
        <v>15</v>
      </c>
      <c r="K109" s="25" t="s">
        <v>2041</v>
      </c>
      <c r="L109" s="32" t="s">
        <v>2648</v>
      </c>
      <c r="M109" s="25" t="s">
        <v>2649</v>
      </c>
      <c r="N109" s="25" t="s">
        <v>2652</v>
      </c>
      <c r="O109" s="25" t="s">
        <v>2081</v>
      </c>
      <c r="P109" s="25" t="s">
        <v>2082</v>
      </c>
    </row>
    <row r="110" spans="1:16" x14ac:dyDescent="0.2">
      <c r="A110" s="25">
        <v>7903602087</v>
      </c>
      <c r="B110" s="25" t="s">
        <v>2655</v>
      </c>
      <c r="C110" s="26" t="s">
        <v>2083</v>
      </c>
      <c r="D110" s="26">
        <v>8</v>
      </c>
      <c r="F110" s="26" t="s">
        <v>2653</v>
      </c>
      <c r="G110" s="25" t="s">
        <v>2004</v>
      </c>
      <c r="H110" s="26" t="s">
        <v>2084</v>
      </c>
      <c r="I110" s="26">
        <v>20</v>
      </c>
      <c r="J110" s="26">
        <v>15</v>
      </c>
      <c r="K110" s="25" t="s">
        <v>2002</v>
      </c>
      <c r="L110" s="32" t="s">
        <v>2656</v>
      </c>
      <c r="M110" s="25" t="s">
        <v>2649</v>
      </c>
      <c r="O110" s="25" t="s">
        <v>2081</v>
      </c>
      <c r="P110" s="25" t="s">
        <v>2082</v>
      </c>
    </row>
    <row r="111" spans="1:16" x14ac:dyDescent="0.2">
      <c r="A111" s="25">
        <v>9802244280</v>
      </c>
      <c r="B111" s="25" t="s">
        <v>2658</v>
      </c>
      <c r="C111" s="26" t="s">
        <v>2083</v>
      </c>
      <c r="D111" s="26">
        <v>2</v>
      </c>
      <c r="E111" s="26" t="s">
        <v>1176</v>
      </c>
      <c r="F111" s="26" t="s">
        <v>1292</v>
      </c>
      <c r="G111" s="25" t="s">
        <v>2001</v>
      </c>
      <c r="H111" s="26" t="s">
        <v>2084</v>
      </c>
      <c r="I111" s="26">
        <v>8</v>
      </c>
      <c r="J111" s="26">
        <v>15</v>
      </c>
      <c r="K111" s="25" t="s">
        <v>1995</v>
      </c>
      <c r="L111" s="32" t="s">
        <v>2659</v>
      </c>
      <c r="M111" s="25" t="s">
        <v>2649</v>
      </c>
      <c r="O111" s="25" t="s">
        <v>2081</v>
      </c>
      <c r="P111" s="25" t="s">
        <v>2082</v>
      </c>
    </row>
    <row r="112" spans="1:16" x14ac:dyDescent="0.2">
      <c r="A112" s="25">
        <v>9621238480</v>
      </c>
      <c r="B112" s="25" t="s">
        <v>2660</v>
      </c>
      <c r="C112" s="26" t="s">
        <v>2085</v>
      </c>
      <c r="D112" s="26">
        <v>4</v>
      </c>
      <c r="F112" s="26" t="s">
        <v>1992</v>
      </c>
      <c r="G112" s="25" t="s">
        <v>1999</v>
      </c>
      <c r="H112" s="26" t="s">
        <v>2298</v>
      </c>
      <c r="I112" s="26">
        <v>20</v>
      </c>
      <c r="J112" s="26">
        <v>10</v>
      </c>
      <c r="K112" s="25" t="s">
        <v>1994</v>
      </c>
      <c r="L112" s="32" t="s">
        <v>2661</v>
      </c>
      <c r="M112" s="25" t="s">
        <v>2649</v>
      </c>
      <c r="O112" s="25" t="s">
        <v>2081</v>
      </c>
      <c r="P112" s="25" t="s">
        <v>2082</v>
      </c>
    </row>
    <row r="113" spans="1:16" x14ac:dyDescent="0.2">
      <c r="A113" s="25">
        <v>7903011395</v>
      </c>
      <c r="B113" s="25" t="s">
        <v>2662</v>
      </c>
      <c r="C113" s="26" t="s">
        <v>2085</v>
      </c>
      <c r="D113" s="26">
        <v>4</v>
      </c>
      <c r="F113" s="26" t="s">
        <v>1992</v>
      </c>
      <c r="G113" s="25" t="s">
        <v>1999</v>
      </c>
      <c r="H113" s="26" t="s">
        <v>2298</v>
      </c>
      <c r="I113" s="26">
        <v>20</v>
      </c>
      <c r="J113" s="26">
        <v>10</v>
      </c>
      <c r="K113" s="25" t="s">
        <v>1994</v>
      </c>
      <c r="L113" s="32" t="s">
        <v>2661</v>
      </c>
      <c r="M113" s="25" t="s">
        <v>2649</v>
      </c>
      <c r="O113" s="25" t="s">
        <v>2081</v>
      </c>
      <c r="P113" s="25" t="s">
        <v>2086</v>
      </c>
    </row>
    <row r="114" spans="1:16" x14ac:dyDescent="0.2">
      <c r="A114" s="25">
        <v>9822750180</v>
      </c>
      <c r="B114" s="25" t="s">
        <v>2628</v>
      </c>
      <c r="C114" s="26" t="s">
        <v>2083</v>
      </c>
      <c r="D114" s="26">
        <v>4</v>
      </c>
      <c r="F114" s="26" t="s">
        <v>1992</v>
      </c>
      <c r="G114" s="25" t="s">
        <v>1997</v>
      </c>
      <c r="H114" s="26" t="s">
        <v>2084</v>
      </c>
      <c r="I114" s="26">
        <v>8</v>
      </c>
      <c r="J114" s="26">
        <v>15</v>
      </c>
      <c r="K114" s="25" t="s">
        <v>1993</v>
      </c>
      <c r="L114" s="32" t="s">
        <v>2664</v>
      </c>
      <c r="M114" s="25" t="s">
        <v>2649</v>
      </c>
      <c r="O114" s="25" t="s">
        <v>2081</v>
      </c>
      <c r="P114" s="25" t="s">
        <v>2082</v>
      </c>
    </row>
    <row r="115" spans="1:16" x14ac:dyDescent="0.2">
      <c r="A115" s="25">
        <v>9862910280</v>
      </c>
      <c r="B115" s="25" t="s">
        <v>2671</v>
      </c>
      <c r="C115" s="26" t="s">
        <v>2083</v>
      </c>
      <c r="D115" s="26">
        <v>2</v>
      </c>
      <c r="E115" s="26" t="s">
        <v>1174</v>
      </c>
      <c r="F115" s="26" t="s">
        <v>2666</v>
      </c>
      <c r="G115" s="25" t="s">
        <v>2673</v>
      </c>
      <c r="H115" s="26" t="s">
        <v>2084</v>
      </c>
      <c r="I115" s="26">
        <v>8</v>
      </c>
      <c r="J115" s="26">
        <v>15</v>
      </c>
      <c r="K115" s="25" t="s">
        <v>2005</v>
      </c>
      <c r="L115" s="32" t="s">
        <v>2674</v>
      </c>
      <c r="M115" s="25" t="s">
        <v>2675</v>
      </c>
      <c r="N115" s="25" t="s">
        <v>2676</v>
      </c>
      <c r="O115" s="25" t="s">
        <v>2081</v>
      </c>
      <c r="P115" s="25" t="s">
        <v>2082</v>
      </c>
    </row>
    <row r="116" spans="1:16" x14ac:dyDescent="0.2">
      <c r="A116" s="25">
        <v>9671588080</v>
      </c>
      <c r="B116" s="25" t="s">
        <v>2601</v>
      </c>
      <c r="C116" s="26" t="s">
        <v>2085</v>
      </c>
      <c r="D116" s="26">
        <v>1</v>
      </c>
      <c r="E116" s="26" t="s">
        <v>1174</v>
      </c>
      <c r="F116" s="26" t="s">
        <v>2666</v>
      </c>
      <c r="G116" s="25" t="s">
        <v>2673</v>
      </c>
      <c r="H116" s="26" t="s">
        <v>2084</v>
      </c>
      <c r="I116" s="26">
        <v>8</v>
      </c>
      <c r="J116" s="26">
        <v>15</v>
      </c>
      <c r="K116" s="25" t="s">
        <v>2005</v>
      </c>
      <c r="L116" s="32" t="s">
        <v>2674</v>
      </c>
      <c r="M116" s="25" t="s">
        <v>2675</v>
      </c>
      <c r="N116" s="25" t="s">
        <v>2676</v>
      </c>
      <c r="O116" s="25" t="s">
        <v>2081</v>
      </c>
      <c r="P116" s="25" t="s">
        <v>2082</v>
      </c>
    </row>
    <row r="117" spans="1:16" x14ac:dyDescent="0.2">
      <c r="A117" s="25">
        <v>9862428480</v>
      </c>
      <c r="B117" s="25" t="s">
        <v>2672</v>
      </c>
      <c r="C117" s="26" t="s">
        <v>2083</v>
      </c>
      <c r="D117" s="26">
        <v>1</v>
      </c>
      <c r="E117" s="26" t="s">
        <v>1174</v>
      </c>
      <c r="F117" s="26" t="s">
        <v>2666</v>
      </c>
      <c r="G117" s="25" t="s">
        <v>2673</v>
      </c>
      <c r="H117" s="26" t="s">
        <v>2084</v>
      </c>
      <c r="I117" s="26">
        <v>8</v>
      </c>
      <c r="J117" s="26">
        <v>15</v>
      </c>
      <c r="K117" s="25" t="s">
        <v>2005</v>
      </c>
      <c r="L117" s="32" t="s">
        <v>2674</v>
      </c>
      <c r="M117" s="25" t="s">
        <v>2675</v>
      </c>
      <c r="N117" s="25" t="s">
        <v>2676</v>
      </c>
      <c r="O117" s="25" t="s">
        <v>2081</v>
      </c>
      <c r="P117" s="25" t="s">
        <v>2086</v>
      </c>
    </row>
    <row r="118" spans="1:16" x14ac:dyDescent="0.2">
      <c r="A118" s="25">
        <v>9841724580</v>
      </c>
      <c r="B118" s="25" t="s">
        <v>2681</v>
      </c>
      <c r="C118" s="26" t="s">
        <v>2083</v>
      </c>
      <c r="D118" s="26">
        <v>4</v>
      </c>
      <c r="E118" s="26" t="s">
        <v>1173</v>
      </c>
      <c r="F118" s="26" t="s">
        <v>1914</v>
      </c>
      <c r="G118" s="25" t="s">
        <v>2684</v>
      </c>
      <c r="H118" s="26" t="s">
        <v>2290</v>
      </c>
      <c r="I118" s="26">
        <v>115</v>
      </c>
      <c r="J118" s="26">
        <v>10</v>
      </c>
      <c r="K118" s="25" t="s">
        <v>2011</v>
      </c>
      <c r="L118" s="32" t="s">
        <v>2685</v>
      </c>
      <c r="M118" s="25" t="s">
        <v>2649</v>
      </c>
      <c r="O118" s="25" t="s">
        <v>2081</v>
      </c>
      <c r="P118" s="25" t="s">
        <v>2082</v>
      </c>
    </row>
    <row r="119" spans="1:16" x14ac:dyDescent="0.2">
      <c r="A119" s="25" t="s">
        <v>2682</v>
      </c>
      <c r="B119" s="25" t="s">
        <v>2683</v>
      </c>
      <c r="C119" s="26" t="s">
        <v>2083</v>
      </c>
      <c r="D119" s="26">
        <v>4</v>
      </c>
      <c r="E119" s="26" t="s">
        <v>1173</v>
      </c>
      <c r="F119" s="26" t="s">
        <v>1914</v>
      </c>
      <c r="G119" s="25" t="s">
        <v>2684</v>
      </c>
      <c r="H119" s="26" t="s">
        <v>2290</v>
      </c>
      <c r="I119" s="26">
        <v>115</v>
      </c>
      <c r="J119" s="26">
        <v>10</v>
      </c>
      <c r="K119" s="25" t="s">
        <v>2011</v>
      </c>
      <c r="L119" s="32" t="s">
        <v>2685</v>
      </c>
      <c r="M119" s="25" t="s">
        <v>2649</v>
      </c>
      <c r="O119" s="25" t="s">
        <v>2081</v>
      </c>
      <c r="P119" s="25" t="s">
        <v>2086</v>
      </c>
    </row>
    <row r="120" spans="1:16" x14ac:dyDescent="0.2">
      <c r="A120" s="25">
        <v>9830832080</v>
      </c>
      <c r="B120" s="25" t="s">
        <v>2689</v>
      </c>
      <c r="C120" s="26" t="s">
        <v>2083</v>
      </c>
      <c r="D120" s="26">
        <v>1</v>
      </c>
      <c r="E120" s="26" t="s">
        <v>608</v>
      </c>
      <c r="F120" s="26" t="s">
        <v>1799</v>
      </c>
      <c r="G120" s="25" t="s">
        <v>2690</v>
      </c>
      <c r="K120" s="25" t="s">
        <v>2016</v>
      </c>
      <c r="L120" s="32" t="s">
        <v>2691</v>
      </c>
      <c r="M120" s="25" t="s">
        <v>2686</v>
      </c>
      <c r="O120" s="25" t="s">
        <v>2081</v>
      </c>
      <c r="P120" s="25" t="s">
        <v>2082</v>
      </c>
    </row>
    <row r="121" spans="1:16" x14ac:dyDescent="0.2">
      <c r="A121" s="25">
        <v>9641148180</v>
      </c>
      <c r="B121" s="25" t="s">
        <v>2692</v>
      </c>
      <c r="C121" s="26" t="s">
        <v>2085</v>
      </c>
      <c r="D121" s="26">
        <v>1</v>
      </c>
      <c r="E121" s="26" t="s">
        <v>608</v>
      </c>
      <c r="F121" s="26" t="s">
        <v>1799</v>
      </c>
      <c r="G121" s="25" t="s">
        <v>2690</v>
      </c>
      <c r="K121" s="25" t="s">
        <v>2016</v>
      </c>
      <c r="L121" s="32" t="s">
        <v>2691</v>
      </c>
      <c r="M121" s="25" t="s">
        <v>2686</v>
      </c>
      <c r="O121" s="25" t="s">
        <v>2081</v>
      </c>
      <c r="P121" s="25" t="s">
        <v>2082</v>
      </c>
    </row>
    <row r="122" spans="1:16" x14ac:dyDescent="0.2">
      <c r="A122" s="25">
        <v>9675380280</v>
      </c>
      <c r="B122" s="25" t="s">
        <v>2695</v>
      </c>
      <c r="C122" s="26" t="s">
        <v>2085</v>
      </c>
      <c r="D122" s="26">
        <v>2</v>
      </c>
      <c r="E122" s="26" t="s">
        <v>593</v>
      </c>
      <c r="F122" s="26" t="s">
        <v>2043</v>
      </c>
      <c r="G122" s="25" t="s">
        <v>2696</v>
      </c>
      <c r="H122" s="26" t="s">
        <v>2084</v>
      </c>
      <c r="I122" s="26">
        <v>2</v>
      </c>
      <c r="J122" s="26">
        <v>15</v>
      </c>
      <c r="K122" s="25" t="s">
        <v>2017</v>
      </c>
      <c r="L122" s="32" t="s">
        <v>2697</v>
      </c>
      <c r="M122" s="25" t="s">
        <v>2686</v>
      </c>
      <c r="O122" s="25" t="s">
        <v>2081</v>
      </c>
      <c r="P122" s="25" t="s">
        <v>2082</v>
      </c>
    </row>
    <row r="123" spans="1:16" x14ac:dyDescent="0.2">
      <c r="A123" s="25">
        <v>7903233029</v>
      </c>
      <c r="B123" s="25" t="s">
        <v>2699</v>
      </c>
      <c r="C123" s="26" t="s">
        <v>2083</v>
      </c>
      <c r="D123" s="26">
        <v>4</v>
      </c>
      <c r="F123" s="26" t="s">
        <v>1982</v>
      </c>
      <c r="G123" s="25" t="s">
        <v>1985</v>
      </c>
      <c r="H123" s="26" t="s">
        <v>2084</v>
      </c>
      <c r="I123" s="26">
        <v>8</v>
      </c>
      <c r="J123" s="26">
        <v>15</v>
      </c>
      <c r="K123" s="25" t="s">
        <v>1983</v>
      </c>
      <c r="L123" s="32" t="s">
        <v>2700</v>
      </c>
      <c r="M123" s="25" t="s">
        <v>2649</v>
      </c>
      <c r="O123" s="25" t="s">
        <v>2081</v>
      </c>
      <c r="P123" s="25" t="s">
        <v>2082</v>
      </c>
    </row>
    <row r="124" spans="1:16" x14ac:dyDescent="0.2">
      <c r="A124" s="25">
        <v>7903233042</v>
      </c>
      <c r="B124" s="25" t="s">
        <v>2587</v>
      </c>
      <c r="C124" s="26" t="s">
        <v>2083</v>
      </c>
      <c r="D124" s="26">
        <v>5</v>
      </c>
      <c r="F124" s="26" t="s">
        <v>1992</v>
      </c>
      <c r="G124" s="25" t="s">
        <v>1991</v>
      </c>
      <c r="H124" s="26" t="s">
        <v>2084</v>
      </c>
      <c r="I124" s="26">
        <v>8</v>
      </c>
      <c r="J124" s="26">
        <v>15</v>
      </c>
      <c r="K124" s="25" t="s">
        <v>1989</v>
      </c>
      <c r="L124" s="25" t="s">
        <v>2703</v>
      </c>
      <c r="M124" s="25" t="s">
        <v>2649</v>
      </c>
      <c r="O124" s="25" t="s">
        <v>2081</v>
      </c>
      <c r="P124" s="25" t="s">
        <v>2082</v>
      </c>
    </row>
    <row r="125" spans="1:16" x14ac:dyDescent="0.2">
      <c r="A125" s="25">
        <v>9804271080</v>
      </c>
      <c r="B125" s="25" t="s">
        <v>2702</v>
      </c>
      <c r="C125" s="26" t="s">
        <v>2083</v>
      </c>
      <c r="D125" s="26">
        <v>5</v>
      </c>
      <c r="F125" s="26" t="s">
        <v>1992</v>
      </c>
      <c r="G125" s="25" t="s">
        <v>1991</v>
      </c>
      <c r="H125" s="26" t="s">
        <v>2084</v>
      </c>
      <c r="I125" s="26">
        <v>8</v>
      </c>
      <c r="J125" s="26">
        <v>15</v>
      </c>
      <c r="K125" s="25" t="s">
        <v>1989</v>
      </c>
      <c r="L125" s="25" t="s">
        <v>2703</v>
      </c>
      <c r="M125" s="25" t="s">
        <v>2649</v>
      </c>
      <c r="O125" s="25" t="s">
        <v>2081</v>
      </c>
      <c r="P125" s="25" t="s">
        <v>2082</v>
      </c>
    </row>
    <row r="126" spans="1:16" x14ac:dyDescent="0.2">
      <c r="A126" s="25">
        <v>9822751380</v>
      </c>
      <c r="B126" s="25" t="s">
        <v>2629</v>
      </c>
      <c r="C126" s="26" t="s">
        <v>2083</v>
      </c>
      <c r="D126" s="26">
        <v>4</v>
      </c>
      <c r="E126" s="26" t="s">
        <v>1170</v>
      </c>
      <c r="F126" s="26" t="s">
        <v>1342</v>
      </c>
      <c r="G126" s="25" t="s">
        <v>2706</v>
      </c>
      <c r="H126" s="26" t="s">
        <v>2298</v>
      </c>
      <c r="I126" s="26">
        <v>8</v>
      </c>
      <c r="J126" s="26">
        <v>15</v>
      </c>
      <c r="K126" s="25" t="s">
        <v>594</v>
      </c>
      <c r="L126" s="32" t="s">
        <v>2707</v>
      </c>
      <c r="M126" s="25" t="s">
        <v>1207</v>
      </c>
      <c r="N126" s="25" t="s">
        <v>2708</v>
      </c>
      <c r="O126" s="25" t="s">
        <v>2081</v>
      </c>
      <c r="P126" s="25" t="s">
        <v>2082</v>
      </c>
    </row>
    <row r="127" spans="1:16" x14ac:dyDescent="0.2">
      <c r="A127" s="25">
        <v>9824674580</v>
      </c>
      <c r="B127" s="25" t="s">
        <v>2630</v>
      </c>
      <c r="C127" s="26" t="s">
        <v>2083</v>
      </c>
      <c r="D127" s="26">
        <v>3</v>
      </c>
      <c r="E127" s="26" t="s">
        <v>608</v>
      </c>
      <c r="F127" s="26" t="s">
        <v>2493</v>
      </c>
      <c r="G127" s="25" t="s">
        <v>2010</v>
      </c>
      <c r="H127" s="26" t="s">
        <v>2084</v>
      </c>
      <c r="I127" s="26">
        <v>4</v>
      </c>
      <c r="J127" s="26">
        <v>15</v>
      </c>
      <c r="K127" s="25" t="s">
        <v>2008</v>
      </c>
      <c r="L127" s="32" t="s">
        <v>2495</v>
      </c>
      <c r="M127" s="25" t="s">
        <v>1207</v>
      </c>
      <c r="N127" s="25" t="s">
        <v>2709</v>
      </c>
      <c r="O127" s="25" t="s">
        <v>2081</v>
      </c>
      <c r="P127" s="25" t="s">
        <v>2082</v>
      </c>
    </row>
    <row r="128" spans="1:16" x14ac:dyDescent="0.2">
      <c r="A128" s="25">
        <v>9675380280</v>
      </c>
      <c r="B128" s="25" t="s">
        <v>2695</v>
      </c>
      <c r="C128" s="26" t="s">
        <v>2085</v>
      </c>
      <c r="D128" s="26">
        <v>2</v>
      </c>
      <c r="E128" s="26" t="s">
        <v>593</v>
      </c>
      <c r="F128" s="26" t="s">
        <v>1595</v>
      </c>
      <c r="G128" s="25" t="str">
        <f>'PORO table'!B519</f>
        <v>MULTIFUNCTION ELECTRONIC CASE PROJECTOR</v>
      </c>
      <c r="H128" s="26" t="s">
        <v>2556</v>
      </c>
      <c r="I128" s="26">
        <v>2</v>
      </c>
      <c r="J128" s="26">
        <v>15</v>
      </c>
      <c r="K128" s="25" t="s">
        <v>2715</v>
      </c>
      <c r="L128" s="32" t="s">
        <v>2718</v>
      </c>
      <c r="M128" s="25" t="s">
        <v>1207</v>
      </c>
      <c r="N128" s="25" t="s">
        <v>2719</v>
      </c>
      <c r="O128" s="25" t="s">
        <v>2081</v>
      </c>
      <c r="P128" s="25" t="s">
        <v>2082</v>
      </c>
    </row>
    <row r="129" spans="1:16" x14ac:dyDescent="0.2">
      <c r="A129" s="25">
        <v>9622267180</v>
      </c>
      <c r="B129" s="25" t="s">
        <v>2724</v>
      </c>
      <c r="C129" s="26" t="s">
        <v>2085</v>
      </c>
      <c r="D129" s="26">
        <v>1</v>
      </c>
      <c r="E129" s="26" t="s">
        <v>1177</v>
      </c>
      <c r="F129" s="26" t="s">
        <v>1258</v>
      </c>
      <c r="G129" s="25" t="str">
        <f>'Table APOQUA files'!F637</f>
        <v>FRT DEFLECTOR AIR MUD DEFLECTOR</v>
      </c>
      <c r="H129" s="26" t="s">
        <v>2556</v>
      </c>
      <c r="I129" s="26">
        <v>4</v>
      </c>
      <c r="J129" s="26">
        <v>15</v>
      </c>
      <c r="K129" s="25" t="s">
        <v>2720</v>
      </c>
      <c r="L129" s="32" t="s">
        <v>2726</v>
      </c>
      <c r="M129" s="25" t="s">
        <v>1207</v>
      </c>
      <c r="N129" s="25" t="s">
        <v>2725</v>
      </c>
      <c r="O129" s="25" t="s">
        <v>2081</v>
      </c>
      <c r="P129" s="25" t="s">
        <v>2082</v>
      </c>
    </row>
    <row r="130" spans="1:16" x14ac:dyDescent="0.2">
      <c r="A130" s="25">
        <v>9671588080</v>
      </c>
      <c r="B130" s="25" t="s">
        <v>2601</v>
      </c>
      <c r="C130" s="26" t="s">
        <v>2085</v>
      </c>
      <c r="D130" s="26">
        <v>6</v>
      </c>
      <c r="E130" s="26" t="s">
        <v>1170</v>
      </c>
      <c r="F130" s="26" t="s">
        <v>1342</v>
      </c>
      <c r="G130" s="25" t="str">
        <f>'Table APOQUA files'!F638</f>
        <v>BATTERY COOLING CENTRAL PLATE</v>
      </c>
      <c r="H130" s="26" t="s">
        <v>2298</v>
      </c>
      <c r="I130" s="26">
        <v>8</v>
      </c>
      <c r="J130" s="26">
        <v>15</v>
      </c>
      <c r="K130" s="25" t="s">
        <v>2727</v>
      </c>
      <c r="L130" s="32" t="s">
        <v>2731</v>
      </c>
      <c r="M130" s="25" t="s">
        <v>1207</v>
      </c>
      <c r="N130" s="25" t="s">
        <v>2732</v>
      </c>
      <c r="O130" s="25" t="s">
        <v>2081</v>
      </c>
      <c r="P130" s="25" t="s">
        <v>2082</v>
      </c>
    </row>
    <row r="131" spans="1:16" x14ac:dyDescent="0.2">
      <c r="A131" s="25">
        <v>9803779080</v>
      </c>
      <c r="B131" s="25" t="s">
        <v>2733</v>
      </c>
      <c r="C131" s="26" t="s">
        <v>2083</v>
      </c>
      <c r="D131" s="26">
        <v>6</v>
      </c>
      <c r="E131" s="26" t="s">
        <v>1170</v>
      </c>
      <c r="F131" s="26" t="s">
        <v>1342</v>
      </c>
      <c r="G131" s="25" t="str">
        <f>'Table APOQUA files'!F639</f>
        <v>INF PIVOT BALL</v>
      </c>
      <c r="H131" s="26" t="s">
        <v>2298</v>
      </c>
      <c r="I131" s="26">
        <v>8</v>
      </c>
      <c r="J131" s="26">
        <v>15</v>
      </c>
      <c r="K131" s="25" t="s">
        <v>2727</v>
      </c>
      <c r="L131" s="32" t="s">
        <v>2731</v>
      </c>
      <c r="M131" s="25" t="s">
        <v>1207</v>
      </c>
    </row>
    <row r="132" spans="1:16" x14ac:dyDescent="0.2">
      <c r="A132" s="25">
        <v>9683683380</v>
      </c>
      <c r="B132" s="25" t="s">
        <v>2739</v>
      </c>
      <c r="C132" s="26" t="s">
        <v>2085</v>
      </c>
      <c r="D132" s="26">
        <v>1</v>
      </c>
      <c r="E132" s="26" t="s">
        <v>1173</v>
      </c>
      <c r="F132" s="26" t="s">
        <v>1726</v>
      </c>
      <c r="G132" s="25" t="s">
        <v>2737</v>
      </c>
      <c r="H132" s="26" t="s">
        <v>2290</v>
      </c>
      <c r="I132" s="26">
        <v>65</v>
      </c>
      <c r="J132" s="26">
        <v>15</v>
      </c>
      <c r="K132" s="25" t="s">
        <v>2735</v>
      </c>
      <c r="L132" s="32" t="s">
        <v>2740</v>
      </c>
      <c r="M132" s="25" t="s">
        <v>1207</v>
      </c>
      <c r="N132" s="25" t="s">
        <v>2741</v>
      </c>
      <c r="O132" s="25" t="s">
        <v>2081</v>
      </c>
      <c r="P132" s="25" t="s">
        <v>2082</v>
      </c>
    </row>
    <row r="133" spans="1:16" x14ac:dyDescent="0.2">
      <c r="A133" s="25">
        <v>9852195080</v>
      </c>
      <c r="B133" s="25" t="s">
        <v>2748</v>
      </c>
      <c r="C133" s="26" t="s">
        <v>2083</v>
      </c>
      <c r="D133" s="26">
        <v>23</v>
      </c>
      <c r="E133" s="26" t="str">
        <f>'Table APOQUA files'!H641</f>
        <v>PDC</v>
      </c>
      <c r="F133" s="26" t="str">
        <f>'PORO table'!C524</f>
        <v>S1A</v>
      </c>
      <c r="G133" s="25" t="str">
        <f>'PORO table'!B524</f>
        <v>DASHBOARD SUPPORT</v>
      </c>
      <c r="H133" s="26" t="s">
        <v>2084</v>
      </c>
      <c r="I133" s="26">
        <v>2</v>
      </c>
      <c r="J133" s="26">
        <v>15</v>
      </c>
      <c r="K133" s="25" t="s">
        <v>2734</v>
      </c>
      <c r="L133" s="32" t="s">
        <v>2749</v>
      </c>
      <c r="M133" s="25" t="s">
        <v>2649</v>
      </c>
      <c r="N133" s="25" t="s">
        <v>2750</v>
      </c>
      <c r="O133" s="25" t="s">
        <v>2081</v>
      </c>
      <c r="P133" s="25" t="s">
        <v>2082</v>
      </c>
    </row>
    <row r="134" spans="1:16" x14ac:dyDescent="0.2">
      <c r="A134" s="25">
        <v>9822751380</v>
      </c>
      <c r="B134" s="25" t="s">
        <v>2629</v>
      </c>
      <c r="C134" s="26" t="s">
        <v>2083</v>
      </c>
      <c r="D134" s="26">
        <v>8</v>
      </c>
      <c r="E134" s="26" t="str">
        <f>'Table APOQUA files'!H642</f>
        <v>EEM</v>
      </c>
      <c r="F134" s="26" t="str">
        <f>'Table APOQUA files'!G642</f>
        <v>Z1A</v>
      </c>
      <c r="G134" s="25" t="str">
        <f>'Table APOQUA files'!F642</f>
        <v>HARNESS INSIDE BATTERY INTERLOCK BACK</v>
      </c>
      <c r="H134" s="26" t="s">
        <v>2298</v>
      </c>
      <c r="I134" s="26">
        <v>8</v>
      </c>
      <c r="J134" s="26">
        <v>15</v>
      </c>
      <c r="K134" s="25" t="str">
        <f>'Table APOQUA files'!D642</f>
        <v>01266_23_00456</v>
      </c>
      <c r="L134" s="32" t="s">
        <v>2755</v>
      </c>
      <c r="M134" s="25" t="s">
        <v>2649</v>
      </c>
      <c r="N134" s="25" t="s">
        <v>2756</v>
      </c>
    </row>
    <row r="135" spans="1:16" x14ac:dyDescent="0.2">
      <c r="A135" s="106">
        <v>9671588080</v>
      </c>
      <c r="B135" s="106" t="s">
        <v>2601</v>
      </c>
      <c r="C135" s="106" t="s">
        <v>2083</v>
      </c>
      <c r="D135" s="106" t="s">
        <v>2860</v>
      </c>
      <c r="E135" s="106" t="s">
        <v>599</v>
      </c>
      <c r="F135" s="106" t="s">
        <v>1356</v>
      </c>
      <c r="G135" s="106" t="s">
        <v>1355</v>
      </c>
      <c r="H135" s="107" t="s">
        <v>2084</v>
      </c>
      <c r="I135" s="107">
        <v>4</v>
      </c>
      <c r="J135" s="107">
        <v>15</v>
      </c>
      <c r="K135" s="106" t="s">
        <v>396</v>
      </c>
      <c r="L135" s="108" t="s">
        <v>2861</v>
      </c>
      <c r="M135" s="105" t="s">
        <v>1209</v>
      </c>
      <c r="N135" s="105" t="s">
        <v>2862</v>
      </c>
      <c r="O135" s="105" t="s">
        <v>2081</v>
      </c>
      <c r="P135" s="106" t="s">
        <v>2082</v>
      </c>
    </row>
    <row r="136" spans="1:16" x14ac:dyDescent="0.2">
      <c r="A136" s="106">
        <v>9818361480</v>
      </c>
      <c r="B136" s="106" t="s">
        <v>2627</v>
      </c>
      <c r="C136" s="106" t="s">
        <v>2863</v>
      </c>
      <c r="D136" s="106" t="s">
        <v>2860</v>
      </c>
      <c r="E136" s="106" t="s">
        <v>599</v>
      </c>
      <c r="F136" s="106" t="s">
        <v>1356</v>
      </c>
      <c r="G136" s="106" t="s">
        <v>1355</v>
      </c>
      <c r="H136" s="107" t="s">
        <v>1208</v>
      </c>
      <c r="I136" s="107" t="s">
        <v>1208</v>
      </c>
      <c r="J136" s="107" t="s">
        <v>1208</v>
      </c>
      <c r="K136" s="106" t="s">
        <v>396</v>
      </c>
      <c r="L136" s="108" t="s">
        <v>2861</v>
      </c>
      <c r="M136" s="105" t="s">
        <v>1209</v>
      </c>
      <c r="N136" s="105" t="s">
        <v>1208</v>
      </c>
      <c r="O136" s="105" t="s">
        <v>2081</v>
      </c>
      <c r="P136" s="106" t="s">
        <v>2086</v>
      </c>
    </row>
  </sheetData>
  <autoFilter ref="A1:P136"/>
  <hyperlinks>
    <hyperlink ref="L6" r:id="rId1"/>
    <hyperlink ref="L7" r:id="rId2"/>
    <hyperlink ref="L12" r:id="rId3"/>
    <hyperlink ref="L108" r:id="rId4"/>
    <hyperlink ref="L109" r:id="rId5"/>
    <hyperlink ref="L110" r:id="rId6"/>
    <hyperlink ref="L111" r:id="rId7"/>
    <hyperlink ref="L112" r:id="rId8"/>
    <hyperlink ref="L113" r:id="rId9"/>
    <hyperlink ref="L114" r:id="rId10"/>
    <hyperlink ref="L115" r:id="rId11"/>
    <hyperlink ref="L116" r:id="rId12"/>
    <hyperlink ref="L117" r:id="rId13"/>
    <hyperlink ref="L118" r:id="rId14"/>
    <hyperlink ref="L119" r:id="rId15"/>
    <hyperlink ref="L120" r:id="rId16"/>
    <hyperlink ref="L121" r:id="rId17"/>
    <hyperlink ref="L122" r:id="rId18"/>
    <hyperlink ref="L123" r:id="rId19"/>
    <hyperlink ref="L126" r:id="rId20"/>
    <hyperlink ref="L127" r:id="rId21"/>
    <hyperlink ref="L128" r:id="rId22"/>
    <hyperlink ref="L129" r:id="rId23"/>
    <hyperlink ref="L130" r:id="rId24"/>
    <hyperlink ref="L131" r:id="rId25"/>
    <hyperlink ref="L132" r:id="rId26"/>
    <hyperlink ref="L133" r:id="rId27"/>
    <hyperlink ref="L134" r:id="rId28"/>
  </hyperlinks>
  <pageMargins left="0.7" right="0.7" top="0.75" bottom="0.75" header="0.3" footer="0.3"/>
  <pageSetup paperSize="9" orientation="portrait" r:id="rId2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 APOQUA files</vt:lpstr>
      <vt:lpstr>List fastener in APOQUA files</vt:lpstr>
      <vt:lpstr>PORO table</vt:lpstr>
      <vt:lpstr>Base PFR table</vt:lpstr>
      <vt:lpstr>Feuil1</vt:lpstr>
    </vt:vector>
  </TitlesOfParts>
  <Company>PSA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MARC HOCH - P525007</dc:creator>
  <cp:lastModifiedBy>ZAINEB EL BOUROUMI (EXTERNAL)</cp:lastModifiedBy>
  <dcterms:created xsi:type="dcterms:W3CDTF">2021-06-17T07:50:47Z</dcterms:created>
  <dcterms:modified xsi:type="dcterms:W3CDTF">2025-04-28T16:42:35Z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d53d93-3f4c-4b90-b511-bd6bdbb4fba9_Enabled">
    <vt:lpwstr>true</vt:lpwstr>
  </property>
  <property fmtid="{D5CDD505-2E9C-101B-9397-08002B2CF9AE}" pid="3" name="MSIP_Label_2fd53d93-3f4c-4b90-b511-bd6bdbb4fba9_SetDate">
    <vt:lpwstr>2021-06-17T07:50:49Z</vt:lpwstr>
  </property>
  <property fmtid="{D5CDD505-2E9C-101B-9397-08002B2CF9AE}" pid="4" name="MSIP_Label_2fd53d93-3f4c-4b90-b511-bd6bdbb4fba9_Method">
    <vt:lpwstr>Standard</vt:lpwstr>
  </property>
  <property fmtid="{D5CDD505-2E9C-101B-9397-08002B2CF9AE}" pid="5" name="MSIP_Label_2fd53d93-3f4c-4b90-b511-bd6bdbb4fba9_Name">
    <vt:lpwstr>2fd53d93-3f4c-4b90-b511-bd6bdbb4fba9</vt:lpwstr>
  </property>
  <property fmtid="{D5CDD505-2E9C-101B-9397-08002B2CF9AE}" pid="6" name="MSIP_Label_2fd53d93-3f4c-4b90-b511-bd6bdbb4fba9_SiteId">
    <vt:lpwstr>d852d5cd-724c-4128-8812-ffa5db3f8507</vt:lpwstr>
  </property>
  <property fmtid="{D5CDD505-2E9C-101B-9397-08002B2CF9AE}" pid="7" name="MSIP_Label_2fd53d93-3f4c-4b90-b511-bd6bdbb4fba9_ActionId">
    <vt:lpwstr>4b5cea27-0f08-44ee-9718-bf575243d4b4</vt:lpwstr>
  </property>
  <property fmtid="{D5CDD505-2E9C-101B-9397-08002B2CF9AE}" pid="8" name="MSIP_Label_2fd53d93-3f4c-4b90-b511-bd6bdbb4fba9_ContentBits">
    <vt:lpwstr>0</vt:lpwstr>
  </property>
</Properties>
</file>